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eha Chauhan\AppData\Local\Microsoft\Windows\INetCache\Content.Outlook\7AJ2GU19\"/>
    </mc:Choice>
  </mc:AlternateContent>
  <xr:revisionPtr revIDLastSave="0" documentId="13_ncr:1_{F2178E96-F506-4994-B6FB-37A14BBCED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ne" sheetId="15" r:id="rId1"/>
    <sheet name="MOUSER" sheetId="2" r:id="rId2"/>
    <sheet name="USD" sheetId="4" r:id="rId3"/>
    <sheet name="Direct" sheetId="16" r:id="rId4"/>
  </sheets>
  <definedNames>
    <definedName name="_xlnm._FilterDatabase" localSheetId="3" hidden="1">Direct!$A$2:$AP$2</definedName>
    <definedName name="_xlnm._FilterDatabase" localSheetId="0" hidden="1">Line!$A$5:$P$467</definedName>
    <definedName name="_xlnm._FilterDatabase" localSheetId="1" hidden="1">MOUSER!$A$3:$Z$3</definedName>
    <definedName name="_xlnm._FilterDatabase" localSheetId="2" hidden="1">USD!$A$2:$AB$2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4" l="1"/>
  <c r="T1" i="2"/>
  <c r="T1" i="15"/>
</calcChain>
</file>

<file path=xl/sharedStrings.xml><?xml version="1.0" encoding="utf-8"?>
<sst xmlns="http://schemas.openxmlformats.org/spreadsheetml/2006/main" count="2574" uniqueCount="583">
  <si>
    <t>SAP No</t>
  </si>
  <si>
    <t>Inv Date</t>
  </si>
  <si>
    <t>Customer Name</t>
  </si>
  <si>
    <t>Sales Employee Name</t>
  </si>
  <si>
    <t>Item No.</t>
  </si>
  <si>
    <t>Make</t>
  </si>
  <si>
    <t>MOUSER MAKE</t>
  </si>
  <si>
    <t>Quantity</t>
  </si>
  <si>
    <t>Unit Price</t>
  </si>
  <si>
    <t>Basic Value</t>
  </si>
  <si>
    <t>Total Value</t>
  </si>
  <si>
    <t>ARPIT SINGH</t>
  </si>
  <si>
    <t>HARSH DOSHI</t>
  </si>
  <si>
    <t>KULDEEP KUMAR</t>
  </si>
  <si>
    <t>Abha</t>
  </si>
  <si>
    <t>MAHESH KUMAR MITTAL</t>
  </si>
  <si>
    <t>GENUS POWER JAIPUR</t>
  </si>
  <si>
    <t>Vinny</t>
  </si>
  <si>
    <t>ABHISHEKH CHOUDHARY</t>
  </si>
  <si>
    <t>RISHABH PANDEY</t>
  </si>
  <si>
    <t>Customer Support</t>
  </si>
  <si>
    <t>Poonam Kashyap</t>
  </si>
  <si>
    <t>Prakash</t>
  </si>
  <si>
    <t>Neha Chauhan</t>
  </si>
  <si>
    <t>Palak</t>
  </si>
  <si>
    <t>Neha</t>
  </si>
  <si>
    <t>Business Line</t>
  </si>
  <si>
    <t>Customer Part No</t>
  </si>
  <si>
    <t>Product Category</t>
  </si>
  <si>
    <t>Internal Number</t>
  </si>
  <si>
    <t>CGST</t>
  </si>
  <si>
    <t>SGST</t>
  </si>
  <si>
    <t>IGST</t>
  </si>
  <si>
    <t>Total Freight</t>
  </si>
  <si>
    <t>Total Freight Tax</t>
  </si>
  <si>
    <t>Inv value</t>
  </si>
  <si>
    <t>CN Quantity</t>
  </si>
  <si>
    <t>CN Value</t>
  </si>
  <si>
    <t>NA</t>
  </si>
  <si>
    <t>TDK</t>
  </si>
  <si>
    <t>Invoice No</t>
  </si>
  <si>
    <t>YAGEO</t>
  </si>
  <si>
    <t>SOLUTION &amp; TECHNOLOGY</t>
  </si>
  <si>
    <t>Microchip</t>
  </si>
  <si>
    <t>Vishay</t>
  </si>
  <si>
    <t>HPL ELECTRIC &amp; POWER GURGAON 132133</t>
  </si>
  <si>
    <t>Bourns</t>
  </si>
  <si>
    <t>Toshiba</t>
  </si>
  <si>
    <t>ALLENGERS MEDICAL DERABASSI</t>
  </si>
  <si>
    <t>TE Connectivity</t>
  </si>
  <si>
    <t>CONTROL PRINT LTD</t>
  </si>
  <si>
    <t>SANDHYA KALYAN</t>
  </si>
  <si>
    <t>Mouser</t>
  </si>
  <si>
    <t>Line</t>
  </si>
  <si>
    <t>DIOTEC</t>
  </si>
  <si>
    <t>PD&amp;E</t>
  </si>
  <si>
    <t>RENESAS</t>
  </si>
  <si>
    <t>Active</t>
  </si>
  <si>
    <t>SECURE METERS LIMITED SANAND</t>
  </si>
  <si>
    <t>EVE</t>
  </si>
  <si>
    <t>NICHICON</t>
  </si>
  <si>
    <t>QUECTEL</t>
  </si>
  <si>
    <t>TAIWAN SEMI</t>
  </si>
  <si>
    <t>MKM TECHNOLOGIES PVT LTD</t>
  </si>
  <si>
    <t>Others</t>
  </si>
  <si>
    <t>OTHER</t>
  </si>
  <si>
    <t>Customer Code</t>
  </si>
  <si>
    <t>Part Number</t>
  </si>
  <si>
    <t>Row Total in USD</t>
  </si>
  <si>
    <t>Sales Employee</t>
  </si>
  <si>
    <t>Sales CS</t>
  </si>
  <si>
    <t>DEL00049</t>
  </si>
  <si>
    <t>Handling charges</t>
  </si>
  <si>
    <t>EC800KCNLC-I03-SNNSA</t>
  </si>
  <si>
    <t>MURATA</t>
  </si>
  <si>
    <t>AMD00188</t>
  </si>
  <si>
    <t>EXPERT INTERNATIONAL</t>
  </si>
  <si>
    <t>LUBI ELECTRONICS</t>
  </si>
  <si>
    <t>onsemi</t>
  </si>
  <si>
    <t>SONA BLW PRECISION FORGINGS LTD</t>
  </si>
  <si>
    <t>SURAJ PANDEY</t>
  </si>
  <si>
    <t>DEL01976</t>
  </si>
  <si>
    <t>KIMBAL PRIVATE LIMITED</t>
  </si>
  <si>
    <t>AOS</t>
  </si>
  <si>
    <t>Dialog -RENESAS</t>
  </si>
  <si>
    <t>BCX56-16</t>
  </si>
  <si>
    <t>US1M</t>
  </si>
  <si>
    <t>FIEM INDUSTRIES LTD</t>
  </si>
  <si>
    <t>SMAJ22A</t>
  </si>
  <si>
    <t>PRICOL LIMITED-GURGAON</t>
  </si>
  <si>
    <t>RADIANT  CONTROLS &amp; AUTOMATION PVT. LTD.</t>
  </si>
  <si>
    <t>DHIRENDRA PANDEY</t>
  </si>
  <si>
    <t>AXPERT ENTERPRISE</t>
  </si>
  <si>
    <t>R5F100ACASP#50</t>
  </si>
  <si>
    <t>ENERTRAK INSTRUMENTS PRIVATE LTD</t>
  </si>
  <si>
    <t>Littelfuse</t>
  </si>
  <si>
    <t>Customer PO No</t>
  </si>
  <si>
    <t>Customer PO Date</t>
  </si>
  <si>
    <t>Samtec</t>
  </si>
  <si>
    <t>GTEK CORPORATION PVT LTD</t>
  </si>
  <si>
    <t>DIASPRO INTECH PRIVATE LIMITED</t>
  </si>
  <si>
    <t>650-44A1121-24-2/3-9</t>
  </si>
  <si>
    <t>ERZHF2M220D</t>
  </si>
  <si>
    <t>PANASONIC</t>
  </si>
  <si>
    <t>Unit Price in USD</t>
  </si>
  <si>
    <t>Remarks</t>
  </si>
  <si>
    <t>USD</t>
  </si>
  <si>
    <t>AT25SF041B-SSHD-T</t>
  </si>
  <si>
    <t>SG MICRO CORP</t>
  </si>
  <si>
    <t>SGM321YN5/TR</t>
  </si>
  <si>
    <t>FIRSTOHM</t>
  </si>
  <si>
    <t>CAPL42ELEC2200UF45</t>
  </si>
  <si>
    <t>UHW1E222KHDBZX</t>
  </si>
  <si>
    <t>CAPL60ELEC33P0UFE5</t>
  </si>
  <si>
    <t>UPT2G330MHDBZX</t>
  </si>
  <si>
    <t>Posting Date</t>
  </si>
  <si>
    <t>Document Currency</t>
  </si>
  <si>
    <t>Document Status</t>
  </si>
  <si>
    <t>O</t>
  </si>
  <si>
    <t>SUN STAR INDUSTRIES</t>
  </si>
  <si>
    <t>KAYNES TECHNOLOGY INDIA LIMITED-DELHI</t>
  </si>
  <si>
    <t>Exchange Rate</t>
  </si>
  <si>
    <t>R5F102A8ASP#10</t>
  </si>
  <si>
    <t>ELITE ELECTRONICS</t>
  </si>
  <si>
    <t>#</t>
  </si>
  <si>
    <t>SYRMA SGS TECHNOLOGY LIMITED-GURUGRAM</t>
  </si>
  <si>
    <t>MM3Z12</t>
  </si>
  <si>
    <t>Email :</t>
  </si>
  <si>
    <t>DEL00051</t>
  </si>
  <si>
    <t>IL JIN ELECTRONICS INDIA PVT LTD</t>
  </si>
  <si>
    <t>UM3232EEUE</t>
  </si>
  <si>
    <t>ITRICS0017</t>
  </si>
  <si>
    <t>UNION SEMI</t>
  </si>
  <si>
    <t>R7FA6M1AD3CFM#AA0</t>
  </si>
  <si>
    <t>ITRICS0324</t>
  </si>
  <si>
    <t>VISHAY</t>
  </si>
  <si>
    <t>UMA POLY SOLUTIONS PVT LTD</t>
  </si>
  <si>
    <t>FIEM INDUSTRIES LTD-ALWAR</t>
  </si>
  <si>
    <t>AOD2N100</t>
  </si>
  <si>
    <t>Region</t>
  </si>
  <si>
    <t>Zone</t>
  </si>
  <si>
    <t>NEW DELHI</t>
  </si>
  <si>
    <t>NORTH</t>
  </si>
  <si>
    <t>GUJARAT</t>
  </si>
  <si>
    <t>RAPIDISE TECHNOLOGY PRIVATE LIMITED-GURUGRAM</t>
  </si>
  <si>
    <t>A.PAUL SOFTWARE SYSTEMS PRIVATE LIMITED</t>
  </si>
  <si>
    <t>Renesas Electronics</t>
  </si>
  <si>
    <t>532-507302B00</t>
  </si>
  <si>
    <t>Aavid</t>
  </si>
  <si>
    <t>R5F11TLEDFB#15</t>
  </si>
  <si>
    <t>CR2032 - PLAIN</t>
  </si>
  <si>
    <t>BC847C</t>
  </si>
  <si>
    <t>CONTINENTAL DEVICE INDIA PVT. LTD. (DD)</t>
  </si>
  <si>
    <t>RMDIO00000193</t>
  </si>
  <si>
    <t>193850BO01A</t>
  </si>
  <si>
    <t>Om</t>
  </si>
  <si>
    <t>UCS2V220MHD1TO</t>
  </si>
  <si>
    <t>INVOICE / CREDIT NOTE NUMBER</t>
  </si>
  <si>
    <t>Customer PO number</t>
  </si>
  <si>
    <t>Shipment Date</t>
  </si>
  <si>
    <t>Customer PartNo</t>
  </si>
  <si>
    <t>Unit Price in FC</t>
  </si>
  <si>
    <t>Row Total in FC</t>
  </si>
  <si>
    <t>SAP SO Number</t>
  </si>
  <si>
    <t>AIR</t>
  </si>
  <si>
    <t>HPL ELECTRIC  POWER GURGAON 132133</t>
  </si>
  <si>
    <t>RFMM49EC800KCNLC</t>
  </si>
  <si>
    <t>SIC743AT25SF041B</t>
  </si>
  <si>
    <t>SICSGM321YN5TR</t>
  </si>
  <si>
    <t>SIC090R5F11TLEDFB</t>
  </si>
  <si>
    <t>SEA MODE</t>
  </si>
  <si>
    <t>SEA</t>
  </si>
  <si>
    <t>POD012500017726</t>
  </si>
  <si>
    <t>POD012500021146</t>
  </si>
  <si>
    <t>26L12886</t>
  </si>
  <si>
    <t>26L12887</t>
  </si>
  <si>
    <t>ZMM5.1</t>
  </si>
  <si>
    <t>26L12891</t>
  </si>
  <si>
    <t>JBD506424AG1C</t>
  </si>
  <si>
    <t>EL380SM024</t>
  </si>
  <si>
    <t>JODING</t>
  </si>
  <si>
    <t>26L12896</t>
  </si>
  <si>
    <t>PAAAA016AAA103</t>
  </si>
  <si>
    <t>26L12897</t>
  </si>
  <si>
    <t>P6KE43A</t>
  </si>
  <si>
    <t>26L12898</t>
  </si>
  <si>
    <t>GBU8M</t>
  </si>
  <si>
    <t>A13DS00485</t>
  </si>
  <si>
    <t>26L12913</t>
  </si>
  <si>
    <t>PCS001-062-00JW</t>
  </si>
  <si>
    <t>R5F10NPLDFB#10</t>
  </si>
  <si>
    <t>PIS001-034-00JW</t>
  </si>
  <si>
    <t>26L12915</t>
  </si>
  <si>
    <t>ETQP4M470KVC</t>
  </si>
  <si>
    <t>26L12916</t>
  </si>
  <si>
    <t>EEEHB1H100P</t>
  </si>
  <si>
    <t>26L12925</t>
  </si>
  <si>
    <t>AGGRESSIVE ELECTRONICS MANUFACTURING SERVICES PVT LTD</t>
  </si>
  <si>
    <t>ERJ3EKF2003V</t>
  </si>
  <si>
    <t>ECSR204FCCX0</t>
  </si>
  <si>
    <t>ERA3AEB202V</t>
  </si>
  <si>
    <t>ECSR202FDDX1</t>
  </si>
  <si>
    <t>ERJ3GEYJ103V</t>
  </si>
  <si>
    <t>ECSR103CJCX0</t>
  </si>
  <si>
    <t>ERJ3GEYJ122V</t>
  </si>
  <si>
    <t>ECSR1K2JCCX0</t>
  </si>
  <si>
    <t>EEEFN1H680XP</t>
  </si>
  <si>
    <t>ECSC686MEX00</t>
  </si>
  <si>
    <t>ERJ3EKF1000V</t>
  </si>
  <si>
    <t>ECSR101FCCXX</t>
  </si>
  <si>
    <t>ERJ3EKF4701V</t>
  </si>
  <si>
    <t>ECSR472CFCXX</t>
  </si>
  <si>
    <t>ERJ3GEY0R00V</t>
  </si>
  <si>
    <t>ECSR0EXXXXC0</t>
  </si>
  <si>
    <t>ERJ3EKF3300V</t>
  </si>
  <si>
    <t>ECSR331FCCR0</t>
  </si>
  <si>
    <t>ERA3AEB3163V</t>
  </si>
  <si>
    <t>ECSR3163CCX0</t>
  </si>
  <si>
    <t>ERJ3EKF1002V</t>
  </si>
  <si>
    <t>ECSR1002FCB0</t>
  </si>
  <si>
    <t>ERJ3EKF1692V</t>
  </si>
  <si>
    <t>ECSR16R9FCCX</t>
  </si>
  <si>
    <t>ERJ3EKF1003V</t>
  </si>
  <si>
    <t>ECSR1003FCB0</t>
  </si>
  <si>
    <t>ERA3AEB333V</t>
  </si>
  <si>
    <t>ECSR303CCX00</t>
  </si>
  <si>
    <t>ERJ3EKF33R0V</t>
  </si>
  <si>
    <t>ECSR33RFDDX0</t>
  </si>
  <si>
    <t>ERJ3EKF4302V</t>
  </si>
  <si>
    <t>ECSR4302FCCX</t>
  </si>
  <si>
    <t>ERJ3EKF4533V</t>
  </si>
  <si>
    <t>ECSR4533FCCX</t>
  </si>
  <si>
    <t>26L12951</t>
  </si>
  <si>
    <t>SPACE APPLICATIONS CENTRE</t>
  </si>
  <si>
    <t>AWMF-0197</t>
  </si>
  <si>
    <t>QORVO</t>
  </si>
  <si>
    <t>26L12952</t>
  </si>
  <si>
    <t>26L12975</t>
  </si>
  <si>
    <t>26L12979</t>
  </si>
  <si>
    <t>R5F104LEAFB#10</t>
  </si>
  <si>
    <t>26L12980</t>
  </si>
  <si>
    <t>CR2032PLAIN</t>
  </si>
  <si>
    <t>26L12988</t>
  </si>
  <si>
    <t>153870BO01P</t>
  </si>
  <si>
    <t>26L12991</t>
  </si>
  <si>
    <t>26L12992</t>
  </si>
  <si>
    <t>P6SMBJ12CA</t>
  </si>
  <si>
    <t>GTELRMDIO000013</t>
  </si>
  <si>
    <t>26L13009</t>
  </si>
  <si>
    <t>26L13014</t>
  </si>
  <si>
    <t>BDG0250D0000</t>
  </si>
  <si>
    <t>EMPTCR025X</t>
  </si>
  <si>
    <t>BETTERFUSE</t>
  </si>
  <si>
    <t>26L13024</t>
  </si>
  <si>
    <t>TRINITY TOUCH PVT. LTD.</t>
  </si>
  <si>
    <t>R5F100MFGFB#10</t>
  </si>
  <si>
    <t>26L13025</t>
  </si>
  <si>
    <t>26L13027</t>
  </si>
  <si>
    <t>26L13039</t>
  </si>
  <si>
    <t>26M12867</t>
  </si>
  <si>
    <t>SHRI BALAJI INDUSTRIES</t>
  </si>
  <si>
    <t>SBI/2026-27/055</t>
  </si>
  <si>
    <t>603-RSF200JB-73-330K</t>
  </si>
  <si>
    <t>71-MMB02070C4991FB20</t>
  </si>
  <si>
    <t>26M12888</t>
  </si>
  <si>
    <t>571-2071531</t>
  </si>
  <si>
    <t>26M12889</t>
  </si>
  <si>
    <t>DIPL/NOID/PO/FY26-27/062</t>
  </si>
  <si>
    <t>26M12890</t>
  </si>
  <si>
    <t>PRECISION EMBEDDED AUTOMATION SOLUTIONS</t>
  </si>
  <si>
    <t>E-Mail : Vrajesh Parikh</t>
  </si>
  <si>
    <t>652-93A1A-B28-A10L</t>
  </si>
  <si>
    <t>26M12892</t>
  </si>
  <si>
    <t>HL MANDO SOFTTECH INDIA PRIVATE LIMITED</t>
  </si>
  <si>
    <t>71-CRCW04022R00JNED</t>
  </si>
  <si>
    <t>757-2SA2195LF</t>
  </si>
  <si>
    <t>71-CRCW0603-2.2-E3</t>
  </si>
  <si>
    <t>71-CRCW0402J-18K-E3</t>
  </si>
  <si>
    <t>71-CRCW0402-33-E3</t>
  </si>
  <si>
    <t>71-CRCW0402-16.2K-E3</t>
  </si>
  <si>
    <t>71-CRCW040243K0FKED</t>
  </si>
  <si>
    <t>603-AF0402FR-07750RL</t>
  </si>
  <si>
    <t>71-CRCW0402240RFKED</t>
  </si>
  <si>
    <t>71-CRCW0402-30K-E3</t>
  </si>
  <si>
    <t>71-CRCW0402-150K-E3</t>
  </si>
  <si>
    <t>26M12893</t>
  </si>
  <si>
    <t>MATHESON HYDROGEN INDIA PRIVATE LIMITED</t>
  </si>
  <si>
    <t>PO/2025/E&amp;I/000/1015</t>
  </si>
  <si>
    <t>576-0451010.MRL</t>
  </si>
  <si>
    <t>576-39600500440</t>
  </si>
  <si>
    <t>26M12895</t>
  </si>
  <si>
    <t>PO-2627-0210</t>
  </si>
  <si>
    <t>200-HCSD13D120001NG</t>
  </si>
  <si>
    <t>200-EJH11301FDSMLC</t>
  </si>
  <si>
    <t>26M12921</t>
  </si>
  <si>
    <t>STREAMLINE CONTROLS PVT LTD</t>
  </si>
  <si>
    <t>SL26270391</t>
  </si>
  <si>
    <t>863-MOC3073SM</t>
  </si>
  <si>
    <t>26M12967</t>
  </si>
  <si>
    <t>612-EG1213</t>
  </si>
  <si>
    <t>EG1213</t>
  </si>
  <si>
    <t>26M12968</t>
  </si>
  <si>
    <t>785-NGCMA10AX01C</t>
  </si>
  <si>
    <t>Honeywell</t>
  </si>
  <si>
    <t>26M12969</t>
  </si>
  <si>
    <t>594-AC05W1K000J</t>
  </si>
  <si>
    <t>26M13028</t>
  </si>
  <si>
    <t>556-ATMEGA128RFA1-ZU</t>
  </si>
  <si>
    <t>26M13066</t>
  </si>
  <si>
    <t>EE/PO/26-27/1625</t>
  </si>
  <si>
    <t>968-R5F100FGAFP#30</t>
  </si>
  <si>
    <t>26M13068</t>
  </si>
  <si>
    <t>VAN NORMAN MACHINE (INDIA) PVT LTD</t>
  </si>
  <si>
    <t>653-XM3A-0921</t>
  </si>
  <si>
    <t>Omron</t>
  </si>
  <si>
    <t>INVOICE / CREDIT NOTE DATE</t>
  </si>
  <si>
    <t>End Customer</t>
  </si>
  <si>
    <t>R7FA6M3AF3CFB#HA0</t>
  </si>
  <si>
    <t>BIS1AA004</t>
  </si>
  <si>
    <t>ITRIANGLE INFOTECH PVT LTD</t>
  </si>
  <si>
    <t>POD0126260420</t>
  </si>
  <si>
    <t>LBWA0ZZ2DS-875</t>
  </si>
  <si>
    <t>ITRICS0457</t>
  </si>
  <si>
    <t>JBD506322AG1C</t>
  </si>
  <si>
    <t>PDS00104400</t>
  </si>
  <si>
    <t>DS FR JODINGINV NO JDIN2607250372704COOCHINA</t>
  </si>
  <si>
    <t>LC NO260127FLCU00187DATED260729PI359000044</t>
  </si>
  <si>
    <t>DEL00057</t>
  </si>
  <si>
    <t>KAYNES TECHNOLOGY INDIA LIMITEDDELHI</t>
  </si>
  <si>
    <t>MINDA CORPORATION LTD</t>
  </si>
  <si>
    <t>PURORD202539152</t>
  </si>
  <si>
    <t>IHLP2525CZEK150M5A</t>
  </si>
  <si>
    <t>MLIBEK1055</t>
  </si>
  <si>
    <t>PUR09202500017</t>
  </si>
  <si>
    <t>CRCW0402221KFKED</t>
  </si>
  <si>
    <t>MLIBEK930</t>
  </si>
  <si>
    <t>PURORD202600772</t>
  </si>
  <si>
    <t>CRCW201068R0FKEFHP</t>
  </si>
  <si>
    <t>MLIBEK1061</t>
  </si>
  <si>
    <t>DEL02393</t>
  </si>
  <si>
    <t>TAISYS INDIA PRIVATE LIMITED</t>
  </si>
  <si>
    <t>RTP8A779H2ASKB0F10SA001＃WS</t>
  </si>
  <si>
    <t>RTP8A779H2ASKB0F10SA001WS</t>
  </si>
  <si>
    <t>PI359000035</t>
  </si>
  <si>
    <t>LC NO260127FLCU00189DATED 260729PI 359000050</t>
  </si>
  <si>
    <t>PUR19202610305</t>
  </si>
  <si>
    <t>SPM6545VT-220M-D</t>
  </si>
  <si>
    <t>UCS2W330MHDFZX</t>
  </si>
  <si>
    <t>CAPG43ELEC33P0UFG5</t>
  </si>
  <si>
    <t>SM204F330KTKRTR3K0</t>
  </si>
  <si>
    <t>SRES899M204330P0K1</t>
  </si>
  <si>
    <t>SPM6530T-1R0M120</t>
  </si>
  <si>
    <t>SIND902SPM65301</t>
  </si>
  <si>
    <t>Document Type</t>
  </si>
  <si>
    <t>End Customer Segment</t>
  </si>
  <si>
    <t>End Customer Sub-Segment</t>
  </si>
  <si>
    <t>Item</t>
  </si>
  <si>
    <t>Energy_Meter</t>
  </si>
  <si>
    <t>Smart Meter</t>
  </si>
  <si>
    <t>EMS</t>
  </si>
  <si>
    <t>DEL00063</t>
  </si>
  <si>
    <t>M S ELECTROVISION PVT LTD HARYANA</t>
  </si>
  <si>
    <t>Consumer</t>
  </si>
  <si>
    <t>White Goods</t>
  </si>
  <si>
    <t>PO25260001557</t>
  </si>
  <si>
    <t>R5F100ACASP50</t>
  </si>
  <si>
    <t>PO26270000802</t>
  </si>
  <si>
    <t>Automotive_EV</t>
  </si>
  <si>
    <t>Telematics</t>
  </si>
  <si>
    <t>Automotive</t>
  </si>
  <si>
    <t>Lighting</t>
  </si>
  <si>
    <t>Not available</t>
  </si>
  <si>
    <t>DEL02247</t>
  </si>
  <si>
    <t>ESYASOFT LANDIS AND GYR LIMITED</t>
  </si>
  <si>
    <t>Industrial</t>
  </si>
  <si>
    <t>Panel Meter</t>
  </si>
  <si>
    <t>EC800GCNLD-I03-SNNDA2</t>
  </si>
  <si>
    <t>DEL01199</t>
  </si>
  <si>
    <t>CAPITAL POWER SYSTEMS LTD</t>
  </si>
  <si>
    <t>Single Phase</t>
  </si>
  <si>
    <t>IPO2510252</t>
  </si>
  <si>
    <t>UHV1C471MPD1TD</t>
  </si>
  <si>
    <t>LC NO 0407926IM0Y00164DATED 260715PI359000029SEA MODE</t>
  </si>
  <si>
    <t>UCY2W330MHD1TO</t>
  </si>
  <si>
    <t>UHW1E102MPD1TD</t>
  </si>
  <si>
    <t>DEL00072</t>
  </si>
  <si>
    <t>NAPINO AUTO  ELECTRONICS LTDGURGAON</t>
  </si>
  <si>
    <t>NAPINO AUTO &amp; ELECTRONICS LTD-GURGAON</t>
  </si>
  <si>
    <t>Fuel Injection System</t>
  </si>
  <si>
    <t>ESR03EZPF2492</t>
  </si>
  <si>
    <t>A11ED04215</t>
  </si>
  <si>
    <t>ROHM</t>
  </si>
  <si>
    <t>KKT00087</t>
  </si>
  <si>
    <t>UPS2600296</t>
  </si>
  <si>
    <t>22850207CNG1SYA01</t>
  </si>
  <si>
    <t>EL388SM004</t>
  </si>
  <si>
    <t>LUYOUFA</t>
  </si>
  <si>
    <t>C</t>
  </si>
  <si>
    <t>2285-203G0ASY01</t>
  </si>
  <si>
    <t>EL349SM113</t>
  </si>
  <si>
    <t>B82144B2333J V 3</t>
  </si>
  <si>
    <t>EL348SM008</t>
  </si>
  <si>
    <t>EPCOS</t>
  </si>
  <si>
    <t>TJMS5760#02</t>
  </si>
  <si>
    <t>EL380SM023</t>
  </si>
  <si>
    <t>TIANMA</t>
  </si>
  <si>
    <t>UCD1C100MCL1GS</t>
  </si>
  <si>
    <t>EL343SM009</t>
  </si>
  <si>
    <t>UCM1C101MCL1GS</t>
  </si>
  <si>
    <t>EL343SM030</t>
  </si>
  <si>
    <t>UHW1E102MPD</t>
  </si>
  <si>
    <t>EL340SM011</t>
  </si>
  <si>
    <t>UCY2G330MHD</t>
  </si>
  <si>
    <t>EL340SM013</t>
  </si>
  <si>
    <t>UHW1C471MPD</t>
  </si>
  <si>
    <t>EL340SM015</t>
  </si>
  <si>
    <t>DEL00052</t>
  </si>
  <si>
    <t>INDICATION INSTRUMENTS LTD</t>
  </si>
  <si>
    <t>Cluster</t>
  </si>
  <si>
    <t>IMP406332</t>
  </si>
  <si>
    <t>FH28K-10S-0.5SH</t>
  </si>
  <si>
    <t>CON34073</t>
  </si>
  <si>
    <t>HIROSE</t>
  </si>
  <si>
    <t>DEL01452</t>
  </si>
  <si>
    <t>P2500909</t>
  </si>
  <si>
    <t>CNA6P1X7R2A475K</t>
  </si>
  <si>
    <t>CGA3E1X7R1C105K</t>
  </si>
  <si>
    <t>SMAJ30CAH</t>
  </si>
  <si>
    <t>A13ED01068</t>
  </si>
  <si>
    <t>DEL01992</t>
  </si>
  <si>
    <t>ANEVOLVE PRIVATE LIMITEDRAJASTHAN</t>
  </si>
  <si>
    <t>ANEVOLVE PRIVATE LIMITED-RAJASTHAN</t>
  </si>
  <si>
    <t>Charger</t>
  </si>
  <si>
    <t>BM61M41RFV-CE2</t>
  </si>
  <si>
    <t>GMR100HJBFER015</t>
  </si>
  <si>
    <t>PA2512FKF7W0R1E</t>
  </si>
  <si>
    <t>RC1206FR-071M8L</t>
  </si>
  <si>
    <t>DEL00083</t>
  </si>
  <si>
    <t>SECURE METERS LIMITED</t>
  </si>
  <si>
    <t>MX25V4035FM1I</t>
  </si>
  <si>
    <t>BIS108112</t>
  </si>
  <si>
    <t>MACRONIX</t>
  </si>
  <si>
    <t>Item Group</t>
  </si>
  <si>
    <t>INTEGRATED CIRCUIT</t>
  </si>
  <si>
    <t>1J11206000700PR</t>
  </si>
  <si>
    <t>SENSORS</t>
  </si>
  <si>
    <t>AHMEDABAD</t>
  </si>
  <si>
    <t>DIODE</t>
  </si>
  <si>
    <t>UPS/2600369</t>
  </si>
  <si>
    <t>LCD</t>
  </si>
  <si>
    <t>HVL0380</t>
  </si>
  <si>
    <t>TRANSISTOR</t>
  </si>
  <si>
    <t>POD0126-00004152</t>
  </si>
  <si>
    <t>MICROCONTROLLER</t>
  </si>
  <si>
    <t>ELECTROLYTIC CAPACIT</t>
  </si>
  <si>
    <t>INDUCTOR</t>
  </si>
  <si>
    <t>P2500905</t>
  </si>
  <si>
    <t>RESISTORS</t>
  </si>
  <si>
    <t>CAPACITORS</t>
  </si>
  <si>
    <t>SAC/APUR/SA2025PO23180101</t>
  </si>
  <si>
    <t>MODULES</t>
  </si>
  <si>
    <t>Email ref 18-06</t>
  </si>
  <si>
    <t>VARISTOR</t>
  </si>
  <si>
    <t>Ref mail 29th May</t>
  </si>
  <si>
    <t>PODM-26-27-00883</t>
  </si>
  <si>
    <t>BATTERY</t>
  </si>
  <si>
    <t>PO-002012</t>
  </si>
  <si>
    <t>MKM/PO/26-27/659</t>
  </si>
  <si>
    <t>26-27/481</t>
  </si>
  <si>
    <t>JAIPUR</t>
  </si>
  <si>
    <t>FUSE</t>
  </si>
  <si>
    <t>PO 26-27/054</t>
  </si>
  <si>
    <t>Ref mail 5th May//Sunstar</t>
  </si>
  <si>
    <t>MOSFET</t>
  </si>
  <si>
    <t>26L13110</t>
  </si>
  <si>
    <t>2102002139-164</t>
  </si>
  <si>
    <t>M0125XLF</t>
  </si>
  <si>
    <t>BGX101-624</t>
  </si>
  <si>
    <t>26L13175</t>
  </si>
  <si>
    <t>ACCUMET SOLUTIONS</t>
  </si>
  <si>
    <t>Mail Ref: 30-08-25</t>
  </si>
  <si>
    <t>B72314S0511K101</t>
  </si>
  <si>
    <t>26L13178</t>
  </si>
  <si>
    <t>26-27/ACS 023</t>
  </si>
  <si>
    <t>CR2032CKP</t>
  </si>
  <si>
    <t>BC857B</t>
  </si>
  <si>
    <t>SKL12</t>
  </si>
  <si>
    <t>S1M</t>
  </si>
  <si>
    <t>BC847B</t>
  </si>
  <si>
    <t>ES1J</t>
  </si>
  <si>
    <t>26L13181</t>
  </si>
  <si>
    <t>25-26/ACS 045</t>
  </si>
  <si>
    <t>26L13192</t>
  </si>
  <si>
    <t>MULTISPAN CONTROL INSTRUMENTS PVT. LTD.</t>
  </si>
  <si>
    <t>MCIPL/25-26/RP/U1/001271</t>
  </si>
  <si>
    <t>TRBJTR0035</t>
  </si>
  <si>
    <t>26L13196</t>
  </si>
  <si>
    <t>MCIPL/26-27/RP/U1/000156(1)</t>
  </si>
  <si>
    <t>BZT52B24</t>
  </si>
  <si>
    <t>DRZENE0019</t>
  </si>
  <si>
    <t>26L13209</t>
  </si>
  <si>
    <t>MCIPL/26-27/RP/U1/000037</t>
  </si>
  <si>
    <t>TRBJTR0034</t>
  </si>
  <si>
    <t>26L13210</t>
  </si>
  <si>
    <t>SATYA ELECTROCOMP PVT LTD</t>
  </si>
  <si>
    <t>26L13212</t>
  </si>
  <si>
    <t>BZT52B5V6</t>
  </si>
  <si>
    <t>DRZENE0018</t>
  </si>
  <si>
    <t>26L13214</t>
  </si>
  <si>
    <t>BZT52B7V5</t>
  </si>
  <si>
    <t>DRZENE0022</t>
  </si>
  <si>
    <t>BZT52B30</t>
  </si>
  <si>
    <t>DRZENE0027</t>
  </si>
  <si>
    <t>26L13217</t>
  </si>
  <si>
    <t>BZT52C12</t>
  </si>
  <si>
    <t>DRZENE0029</t>
  </si>
  <si>
    <t>DI78L3.3UAB</t>
  </si>
  <si>
    <t>PMLVR0034</t>
  </si>
  <si>
    <t>REGULATORS</t>
  </si>
  <si>
    <t>BZT52C8V2</t>
  </si>
  <si>
    <t>DRZENE0048</t>
  </si>
  <si>
    <t>MMFTN3402</t>
  </si>
  <si>
    <t>TRMOSF0016</t>
  </si>
  <si>
    <t>ABS15M</t>
  </si>
  <si>
    <t>DRSCHD0026</t>
  </si>
  <si>
    <t>26L13218</t>
  </si>
  <si>
    <t>MCIPL/25-26/RP/U1/001095</t>
  </si>
  <si>
    <t>MMFTP3401</t>
  </si>
  <si>
    <t>DRRECT0002</t>
  </si>
  <si>
    <t>26L13248</t>
  </si>
  <si>
    <t>PRICOL LIMITED-Delhi</t>
  </si>
  <si>
    <t>MMFTP2319</t>
  </si>
  <si>
    <t>195750BO01A</t>
  </si>
  <si>
    <t>26L13249</t>
  </si>
  <si>
    <t>26L13252</t>
  </si>
  <si>
    <t>DI62063.3S1</t>
  </si>
  <si>
    <t>196392BO01A</t>
  </si>
  <si>
    <t>26L13256</t>
  </si>
  <si>
    <t>26L13260</t>
  </si>
  <si>
    <t>BCX53-16</t>
  </si>
  <si>
    <t>160304BO01A</t>
  </si>
  <si>
    <t>26L13272</t>
  </si>
  <si>
    <t>BC817-40</t>
  </si>
  <si>
    <t>179703BO01A</t>
  </si>
  <si>
    <t>26L13273</t>
  </si>
  <si>
    <t>119106BO01A</t>
  </si>
  <si>
    <t>26L13279</t>
  </si>
  <si>
    <t>PRANAV VIKAS INDIA (PVT) LTD</t>
  </si>
  <si>
    <t>6PLC00485</t>
  </si>
  <si>
    <t>SSW6285SC</t>
  </si>
  <si>
    <t>FPAJ02S2A01-00-L1</t>
  </si>
  <si>
    <t>DC MOTOR</t>
  </si>
  <si>
    <t>26L13281</t>
  </si>
  <si>
    <t>6PLC00437</t>
  </si>
  <si>
    <t>SSW6229S</t>
  </si>
  <si>
    <t>FPBD01O1C12-00-L1</t>
  </si>
  <si>
    <t>MOTOR</t>
  </si>
  <si>
    <t>26L13283</t>
  </si>
  <si>
    <t>LAN ENGINEERING &amp; TECHNOLOGIES PRIVATE LIMITED</t>
  </si>
  <si>
    <t>LAN/PO-B15/26-27/0332</t>
  </si>
  <si>
    <t>EG800AKCN11LC-4I-SNNSI</t>
  </si>
  <si>
    <t>26L13290</t>
  </si>
  <si>
    <t>R5F10Y16ASP#10</t>
  </si>
  <si>
    <t>IC</t>
  </si>
  <si>
    <t>26L13302</t>
  </si>
  <si>
    <t>PROBUS SMART THINGS PRIVATE LIMITED</t>
  </si>
  <si>
    <t>PST/PO/25-26/58 .</t>
  </si>
  <si>
    <t>LS05-BV16442</t>
  </si>
  <si>
    <t>OP1369</t>
  </si>
  <si>
    <t>STANDEX</t>
  </si>
  <si>
    <t>26L13313</t>
  </si>
  <si>
    <t>HVR20D471</t>
  </si>
  <si>
    <t>MOV</t>
  </si>
  <si>
    <t>26L13314</t>
  </si>
  <si>
    <t>EWK1CM101D11-T</t>
  </si>
  <si>
    <t>AISHI</t>
  </si>
  <si>
    <t>EWK1CM100D11-T</t>
  </si>
  <si>
    <t>26L13316</t>
  </si>
  <si>
    <t>MBR20200CT</t>
  </si>
  <si>
    <t>USL1M</t>
  </si>
  <si>
    <t>M7, T/R</t>
  </si>
  <si>
    <t>B32923C3225K N 1</t>
  </si>
  <si>
    <t>DI78L12UAB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</si>
</sst>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FB3E-B93D-4038-9D5A-A2FB138B1129}">
  <dimension ref="A1:AD91"/>
  <sheetViews>
    <sheetView tabSelected="1" workbookViewId="0">
      <selection activeCell="D1" sqref="D1"/>
    </sheetView>
  </sheetViews>
  <sheetFormatPr defaultRowHeight="14.5" x14ac:dyDescent="0.35"/>
  <cols>
    <col min="1" max="1" width="2.81640625" bestFit="1" customWidth="1"/>
    <col min="2" max="2" width="14.7265625" bestFit="1" customWidth="1"/>
    <col min="3" max="3" width="9.81640625" bestFit="1" customWidth="1"/>
    <col min="4" max="4" width="9.54296875" bestFit="1" customWidth="1"/>
    <col min="5" max="5" width="11.81640625" bestFit="1" customWidth="1"/>
    <col min="6" max="6" width="10.08984375" bestFit="1" customWidth="1"/>
    <col min="7" max="7" width="54.453125" bestFit="1" customWidth="1"/>
    <col min="8" max="8" width="27" bestFit="1" customWidth="1"/>
    <col min="9" max="9" width="16.1796875" bestFit="1" customWidth="1"/>
    <col min="10" max="10" width="6.81640625" bestFit="1" customWidth="1"/>
    <col min="11" max="11" width="12" bestFit="1" customWidth="1"/>
    <col min="12" max="12" width="21.90625" bestFit="1" customWidth="1"/>
    <col min="13" max="13" width="16.08984375" bestFit="1" customWidth="1"/>
    <col min="14" max="15" width="22.54296875" bestFit="1" customWidth="1"/>
    <col min="16" max="16" width="12.453125" bestFit="1" customWidth="1"/>
    <col min="17" max="17" width="20.36328125" bestFit="1" customWidth="1"/>
    <col min="18" max="18" width="10.26953125" bestFit="1" customWidth="1"/>
    <col min="20" max="20" width="11.26953125" bestFit="1" customWidth="1"/>
    <col min="21" max="21" width="5.08984375" bestFit="1" customWidth="1"/>
    <col min="22" max="22" width="4.90625" bestFit="1" customWidth="1"/>
    <col min="23" max="23" width="10.26953125" bestFit="1" customWidth="1"/>
    <col min="24" max="24" width="11.1796875" bestFit="1" customWidth="1"/>
    <col min="25" max="25" width="14.6328125" bestFit="1" customWidth="1"/>
    <col min="26" max="26" width="11.26953125" bestFit="1" customWidth="1"/>
    <col min="27" max="27" width="10.81640625" bestFit="1" customWidth="1"/>
    <col min="28" max="28" width="8.26953125" bestFit="1" customWidth="1"/>
    <col min="29" max="29" width="11.26953125" bestFit="1" customWidth="1"/>
    <col min="30" max="30" width="15.1796875" bestFit="1" customWidth="1"/>
  </cols>
  <sheetData>
    <row r="1" spans="1:30" x14ac:dyDescent="0.35">
      <c r="T1" s="4">
        <f>SUBTOTAL(9,T3:T91)</f>
        <v>19689652.149999999</v>
      </c>
    </row>
    <row r="2" spans="1:30" x14ac:dyDescent="0.35">
      <c r="A2" t="s">
        <v>124</v>
      </c>
      <c r="B2" t="s">
        <v>29</v>
      </c>
      <c r="C2" t="s">
        <v>0</v>
      </c>
      <c r="D2" t="s">
        <v>40</v>
      </c>
      <c r="E2" t="s">
        <v>26</v>
      </c>
      <c r="F2" t="s">
        <v>1</v>
      </c>
      <c r="G2" t="s">
        <v>2</v>
      </c>
      <c r="H2" t="s">
        <v>96</v>
      </c>
      <c r="I2" t="s">
        <v>97</v>
      </c>
      <c r="J2" t="s">
        <v>140</v>
      </c>
      <c r="K2" t="s">
        <v>139</v>
      </c>
      <c r="L2" t="s">
        <v>3</v>
      </c>
      <c r="M2" t="s">
        <v>20</v>
      </c>
      <c r="N2" t="s">
        <v>4</v>
      </c>
      <c r="O2" t="s">
        <v>27</v>
      </c>
      <c r="P2" t="s">
        <v>5</v>
      </c>
      <c r="Q2" t="s">
        <v>442</v>
      </c>
      <c r="R2" t="s">
        <v>7</v>
      </c>
      <c r="S2" t="s">
        <v>8</v>
      </c>
      <c r="T2" t="s">
        <v>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10</v>
      </c>
      <c r="AD2" t="s">
        <v>28</v>
      </c>
    </row>
    <row r="3" spans="1:30" x14ac:dyDescent="0.35">
      <c r="A3">
        <v>1</v>
      </c>
      <c r="B3">
        <v>281463</v>
      </c>
      <c r="C3">
        <v>328012886</v>
      </c>
      <c r="D3" t="s">
        <v>174</v>
      </c>
      <c r="E3" t="s">
        <v>53</v>
      </c>
      <c r="F3" s="1">
        <v>46237</v>
      </c>
      <c r="G3" t="s">
        <v>125</v>
      </c>
      <c r="H3">
        <v>4300065573</v>
      </c>
      <c r="I3" s="1">
        <v>46106</v>
      </c>
      <c r="J3" t="s">
        <v>142</v>
      </c>
      <c r="K3" t="s">
        <v>141</v>
      </c>
      <c r="L3" t="s">
        <v>13</v>
      </c>
      <c r="M3" t="s">
        <v>14</v>
      </c>
      <c r="N3" t="s">
        <v>126</v>
      </c>
      <c r="O3">
        <v>1110059316</v>
      </c>
      <c r="P3" t="s">
        <v>54</v>
      </c>
      <c r="Q3" t="s">
        <v>447</v>
      </c>
      <c r="R3" s="2">
        <v>6000</v>
      </c>
      <c r="S3">
        <v>0.97</v>
      </c>
      <c r="T3" s="2">
        <v>5820</v>
      </c>
      <c r="U3">
        <v>0</v>
      </c>
      <c r="V3">
        <v>0</v>
      </c>
      <c r="W3" s="2">
        <v>1047.5999999999999</v>
      </c>
      <c r="X3">
        <v>0</v>
      </c>
      <c r="Y3">
        <v>0</v>
      </c>
      <c r="Z3" s="2">
        <v>6867.6</v>
      </c>
      <c r="AA3">
        <v>0</v>
      </c>
      <c r="AB3">
        <v>0</v>
      </c>
      <c r="AC3" s="2">
        <v>6867.6</v>
      </c>
      <c r="AD3" t="s">
        <v>55</v>
      </c>
    </row>
    <row r="4" spans="1:30" x14ac:dyDescent="0.35">
      <c r="A4">
        <v>2</v>
      </c>
      <c r="B4">
        <v>281464</v>
      </c>
      <c r="C4">
        <v>328012887</v>
      </c>
      <c r="D4" t="s">
        <v>175</v>
      </c>
      <c r="E4" t="s">
        <v>53</v>
      </c>
      <c r="F4" s="1">
        <v>46237</v>
      </c>
      <c r="G4" t="s">
        <v>125</v>
      </c>
      <c r="H4">
        <v>4300065400</v>
      </c>
      <c r="I4" s="1">
        <v>46072</v>
      </c>
      <c r="J4" t="s">
        <v>142</v>
      </c>
      <c r="K4" t="s">
        <v>141</v>
      </c>
      <c r="L4" t="s">
        <v>13</v>
      </c>
      <c r="M4" t="s">
        <v>14</v>
      </c>
      <c r="N4" t="s">
        <v>176</v>
      </c>
      <c r="O4">
        <v>1100029293</v>
      </c>
      <c r="P4" t="s">
        <v>54</v>
      </c>
      <c r="Q4" t="s">
        <v>447</v>
      </c>
      <c r="R4" s="2">
        <v>2500</v>
      </c>
      <c r="S4">
        <v>0.78</v>
      </c>
      <c r="T4" s="2">
        <v>1950</v>
      </c>
      <c r="U4">
        <v>0</v>
      </c>
      <c r="V4">
        <v>0</v>
      </c>
      <c r="W4">
        <v>351</v>
      </c>
      <c r="X4">
        <v>0</v>
      </c>
      <c r="Y4">
        <v>0</v>
      </c>
      <c r="Z4" s="2">
        <v>2301</v>
      </c>
      <c r="AA4">
        <v>0</v>
      </c>
      <c r="AB4">
        <v>0</v>
      </c>
      <c r="AC4" s="2">
        <v>2301</v>
      </c>
      <c r="AD4" t="s">
        <v>55</v>
      </c>
    </row>
    <row r="5" spans="1:30" x14ac:dyDescent="0.35">
      <c r="A5">
        <v>3</v>
      </c>
      <c r="B5">
        <v>281468</v>
      </c>
      <c r="C5">
        <v>328012891</v>
      </c>
      <c r="D5" t="s">
        <v>177</v>
      </c>
      <c r="E5" t="s">
        <v>53</v>
      </c>
      <c r="F5" s="1">
        <v>46237</v>
      </c>
      <c r="G5" t="s">
        <v>136</v>
      </c>
      <c r="H5" t="s">
        <v>448</v>
      </c>
      <c r="I5" s="1">
        <v>46139</v>
      </c>
      <c r="J5" t="s">
        <v>142</v>
      </c>
      <c r="K5" t="s">
        <v>141</v>
      </c>
      <c r="L5" t="s">
        <v>13</v>
      </c>
      <c r="M5" t="s">
        <v>23</v>
      </c>
      <c r="N5" t="s">
        <v>178</v>
      </c>
      <c r="O5" t="s">
        <v>179</v>
      </c>
      <c r="P5" t="s">
        <v>180</v>
      </c>
      <c r="Q5" t="s">
        <v>449</v>
      </c>
      <c r="R5" s="2">
        <v>4990</v>
      </c>
      <c r="S5">
        <v>8</v>
      </c>
      <c r="T5" s="2">
        <v>39920</v>
      </c>
      <c r="U5">
        <v>0</v>
      </c>
      <c r="V5">
        <v>0</v>
      </c>
      <c r="W5" s="2">
        <v>7290.9</v>
      </c>
      <c r="X5">
        <v>585</v>
      </c>
      <c r="Y5">
        <v>105.3</v>
      </c>
      <c r="Z5" s="2">
        <v>47795.9</v>
      </c>
      <c r="AA5">
        <v>0</v>
      </c>
      <c r="AB5">
        <v>0</v>
      </c>
      <c r="AC5" s="2">
        <v>47795.9</v>
      </c>
      <c r="AD5" t="s">
        <v>64</v>
      </c>
    </row>
    <row r="6" spans="1:30" x14ac:dyDescent="0.35">
      <c r="A6">
        <v>4</v>
      </c>
      <c r="B6">
        <v>281474</v>
      </c>
      <c r="C6">
        <v>328012896</v>
      </c>
      <c r="D6" t="s">
        <v>181</v>
      </c>
      <c r="E6" t="s">
        <v>53</v>
      </c>
      <c r="F6" s="1">
        <v>46237</v>
      </c>
      <c r="G6" t="s">
        <v>152</v>
      </c>
      <c r="H6" t="s">
        <v>450</v>
      </c>
      <c r="I6" s="1">
        <v>46153</v>
      </c>
      <c r="J6" t="s">
        <v>142</v>
      </c>
      <c r="K6" t="s">
        <v>141</v>
      </c>
      <c r="L6" t="s">
        <v>15</v>
      </c>
      <c r="M6" t="s">
        <v>14</v>
      </c>
      <c r="N6" t="s">
        <v>151</v>
      </c>
      <c r="O6" t="s">
        <v>182</v>
      </c>
      <c r="P6" t="s">
        <v>54</v>
      </c>
      <c r="Q6" t="s">
        <v>451</v>
      </c>
      <c r="R6" s="2">
        <v>3000</v>
      </c>
      <c r="S6">
        <v>0.56000000000000005</v>
      </c>
      <c r="T6" s="2">
        <v>1680</v>
      </c>
      <c r="U6">
        <v>0</v>
      </c>
      <c r="V6">
        <v>0</v>
      </c>
      <c r="W6">
        <v>302.39999999999998</v>
      </c>
      <c r="X6">
        <v>0</v>
      </c>
      <c r="Y6">
        <v>0</v>
      </c>
      <c r="Z6" s="2">
        <v>1982.4</v>
      </c>
      <c r="AA6">
        <v>0</v>
      </c>
      <c r="AB6">
        <v>0</v>
      </c>
      <c r="AC6" s="2">
        <v>1982.4</v>
      </c>
      <c r="AD6" t="s">
        <v>55</v>
      </c>
    </row>
    <row r="7" spans="1:30" x14ac:dyDescent="0.35">
      <c r="A7">
        <v>5</v>
      </c>
      <c r="B7">
        <v>281475</v>
      </c>
      <c r="C7">
        <v>328012897</v>
      </c>
      <c r="D7" t="s">
        <v>183</v>
      </c>
      <c r="E7" t="s">
        <v>53</v>
      </c>
      <c r="F7" s="1">
        <v>46237</v>
      </c>
      <c r="G7" t="s">
        <v>77</v>
      </c>
      <c r="H7">
        <v>4100034558</v>
      </c>
      <c r="I7" s="1">
        <v>46139</v>
      </c>
      <c r="J7" t="s">
        <v>142</v>
      </c>
      <c r="K7" t="s">
        <v>446</v>
      </c>
      <c r="L7" t="s">
        <v>12</v>
      </c>
      <c r="M7" t="s">
        <v>21</v>
      </c>
      <c r="N7" t="s">
        <v>184</v>
      </c>
      <c r="O7">
        <v>1000006536</v>
      </c>
      <c r="P7" t="s">
        <v>54</v>
      </c>
      <c r="Q7" t="s">
        <v>447</v>
      </c>
      <c r="R7" s="2">
        <v>12000</v>
      </c>
      <c r="S7">
        <v>5.75</v>
      </c>
      <c r="T7" s="2">
        <v>69000</v>
      </c>
      <c r="U7">
        <v>0</v>
      </c>
      <c r="V7">
        <v>0</v>
      </c>
      <c r="W7" s="2">
        <v>12420</v>
      </c>
      <c r="X7">
        <v>0</v>
      </c>
      <c r="Y7">
        <v>0</v>
      </c>
      <c r="Z7" s="2">
        <v>81420</v>
      </c>
      <c r="AA7">
        <v>0</v>
      </c>
      <c r="AB7">
        <v>0</v>
      </c>
      <c r="AC7" s="2">
        <v>81420</v>
      </c>
      <c r="AD7" t="s">
        <v>55</v>
      </c>
    </row>
    <row r="8" spans="1:30" x14ac:dyDescent="0.35">
      <c r="A8">
        <v>6</v>
      </c>
      <c r="B8">
        <v>281476</v>
      </c>
      <c r="C8">
        <v>328012898</v>
      </c>
      <c r="D8" t="s">
        <v>185</v>
      </c>
      <c r="E8" t="s">
        <v>53</v>
      </c>
      <c r="F8" s="1">
        <v>46237</v>
      </c>
      <c r="G8" t="s">
        <v>144</v>
      </c>
      <c r="H8">
        <v>6012000786</v>
      </c>
      <c r="I8" s="1">
        <v>46195</v>
      </c>
      <c r="J8" t="s">
        <v>142</v>
      </c>
      <c r="K8" t="s">
        <v>143</v>
      </c>
      <c r="L8" t="s">
        <v>12</v>
      </c>
      <c r="M8" t="s">
        <v>21</v>
      </c>
      <c r="N8" t="s">
        <v>186</v>
      </c>
      <c r="O8" t="s">
        <v>187</v>
      </c>
      <c r="P8" t="s">
        <v>54</v>
      </c>
      <c r="Q8" t="s">
        <v>447</v>
      </c>
      <c r="R8" s="2">
        <v>4000</v>
      </c>
      <c r="S8">
        <v>14.1</v>
      </c>
      <c r="T8" s="2">
        <v>56400</v>
      </c>
      <c r="U8">
        <v>0</v>
      </c>
      <c r="V8">
        <v>0</v>
      </c>
      <c r="W8" s="2">
        <v>10152</v>
      </c>
      <c r="X8">
        <v>0</v>
      </c>
      <c r="Y8">
        <v>0</v>
      </c>
      <c r="Z8" s="2">
        <v>66552</v>
      </c>
      <c r="AA8">
        <v>0</v>
      </c>
      <c r="AB8">
        <v>0</v>
      </c>
      <c r="AC8" s="2">
        <v>66552</v>
      </c>
      <c r="AD8" t="s">
        <v>55</v>
      </c>
    </row>
    <row r="9" spans="1:30" x14ac:dyDescent="0.35">
      <c r="A9">
        <v>7</v>
      </c>
      <c r="B9">
        <v>281510</v>
      </c>
      <c r="C9">
        <v>328012913</v>
      </c>
      <c r="D9" t="s">
        <v>188</v>
      </c>
      <c r="E9" t="s">
        <v>53</v>
      </c>
      <c r="F9" s="1">
        <v>46238</v>
      </c>
      <c r="G9" t="s">
        <v>129</v>
      </c>
      <c r="H9" t="s">
        <v>452</v>
      </c>
      <c r="I9" s="1">
        <v>46167</v>
      </c>
      <c r="J9" t="s">
        <v>142</v>
      </c>
      <c r="K9" t="s">
        <v>141</v>
      </c>
      <c r="L9" t="s">
        <v>11</v>
      </c>
      <c r="M9" t="s">
        <v>21</v>
      </c>
      <c r="N9" t="s">
        <v>190</v>
      </c>
      <c r="O9" t="s">
        <v>191</v>
      </c>
      <c r="P9" t="s">
        <v>56</v>
      </c>
      <c r="Q9" t="s">
        <v>453</v>
      </c>
      <c r="R9">
        <v>720</v>
      </c>
      <c r="S9">
        <v>150</v>
      </c>
      <c r="T9" s="2">
        <v>108000</v>
      </c>
      <c r="U9">
        <v>0</v>
      </c>
      <c r="V9">
        <v>0</v>
      </c>
      <c r="W9" s="2">
        <v>19624.5</v>
      </c>
      <c r="X9">
        <v>572.09302000000002</v>
      </c>
      <c r="Y9">
        <v>102.97674000000001</v>
      </c>
      <c r="Z9" s="2">
        <v>128115.06977</v>
      </c>
      <c r="AA9">
        <v>0</v>
      </c>
      <c r="AB9">
        <v>0</v>
      </c>
      <c r="AC9" s="2">
        <v>128115.06977</v>
      </c>
      <c r="AD9" t="s">
        <v>57</v>
      </c>
    </row>
    <row r="10" spans="1:30" x14ac:dyDescent="0.35">
      <c r="A10">
        <v>8</v>
      </c>
      <c r="B10">
        <v>281510</v>
      </c>
      <c r="C10">
        <v>328012913</v>
      </c>
      <c r="D10" t="s">
        <v>188</v>
      </c>
      <c r="E10" t="s">
        <v>53</v>
      </c>
      <c r="F10" s="1">
        <v>46238</v>
      </c>
      <c r="G10" t="s">
        <v>129</v>
      </c>
      <c r="H10" t="s">
        <v>452</v>
      </c>
      <c r="I10" s="1">
        <v>46167</v>
      </c>
      <c r="J10" t="s">
        <v>142</v>
      </c>
      <c r="K10" t="s">
        <v>141</v>
      </c>
      <c r="L10" t="s">
        <v>11</v>
      </c>
      <c r="M10" t="s">
        <v>21</v>
      </c>
      <c r="N10" t="s">
        <v>156</v>
      </c>
      <c r="O10" t="s">
        <v>189</v>
      </c>
      <c r="P10" t="s">
        <v>60</v>
      </c>
      <c r="Q10" t="s">
        <v>454</v>
      </c>
      <c r="R10" s="2">
        <v>9000</v>
      </c>
      <c r="S10">
        <v>9.5</v>
      </c>
      <c r="T10" s="2">
        <v>85500</v>
      </c>
      <c r="U10">
        <v>0</v>
      </c>
      <c r="V10">
        <v>0</v>
      </c>
      <c r="W10" s="2">
        <v>15390</v>
      </c>
      <c r="X10">
        <v>452.90697999999998</v>
      </c>
      <c r="Y10">
        <v>81.523259999999993</v>
      </c>
      <c r="Z10" s="2">
        <v>101424.43023</v>
      </c>
      <c r="AA10">
        <v>0</v>
      </c>
      <c r="AB10">
        <v>0</v>
      </c>
      <c r="AC10" s="2">
        <v>101424.43023</v>
      </c>
      <c r="AD10" t="s">
        <v>55</v>
      </c>
    </row>
    <row r="11" spans="1:30" x14ac:dyDescent="0.35">
      <c r="A11">
        <v>9</v>
      </c>
      <c r="B11">
        <v>281514</v>
      </c>
      <c r="C11">
        <v>328012915</v>
      </c>
      <c r="D11" t="s">
        <v>192</v>
      </c>
      <c r="E11" t="s">
        <v>53</v>
      </c>
      <c r="F11" s="1">
        <v>46238</v>
      </c>
      <c r="G11" t="s">
        <v>137</v>
      </c>
      <c r="H11">
        <v>5500008244</v>
      </c>
      <c r="I11" s="1">
        <v>46101</v>
      </c>
      <c r="J11" t="s">
        <v>142</v>
      </c>
      <c r="K11" t="s">
        <v>141</v>
      </c>
      <c r="L11" t="s">
        <v>13</v>
      </c>
      <c r="M11" t="s">
        <v>24</v>
      </c>
      <c r="N11" t="s">
        <v>193</v>
      </c>
      <c r="O11">
        <v>13002901</v>
      </c>
      <c r="P11" t="s">
        <v>103</v>
      </c>
      <c r="Q11" t="s">
        <v>455</v>
      </c>
      <c r="R11" s="2">
        <v>3000</v>
      </c>
      <c r="S11">
        <v>27.84</v>
      </c>
      <c r="T11" s="2">
        <v>83520</v>
      </c>
      <c r="U11">
        <v>0</v>
      </c>
      <c r="V11">
        <v>0</v>
      </c>
      <c r="W11" s="2">
        <v>15033.6</v>
      </c>
      <c r="X11">
        <v>0</v>
      </c>
      <c r="Y11">
        <v>0</v>
      </c>
      <c r="Z11" s="2">
        <v>98553.600000000006</v>
      </c>
      <c r="AA11">
        <v>0</v>
      </c>
      <c r="AB11">
        <v>0</v>
      </c>
      <c r="AC11" s="2">
        <v>98553.600000000006</v>
      </c>
      <c r="AD11" t="s">
        <v>55</v>
      </c>
    </row>
    <row r="12" spans="1:30" x14ac:dyDescent="0.35">
      <c r="A12">
        <v>10</v>
      </c>
      <c r="B12">
        <v>281515</v>
      </c>
      <c r="C12">
        <v>328012916</v>
      </c>
      <c r="D12" t="s">
        <v>194</v>
      </c>
      <c r="E12" t="s">
        <v>53</v>
      </c>
      <c r="F12" s="1">
        <v>46238</v>
      </c>
      <c r="G12" t="s">
        <v>137</v>
      </c>
      <c r="H12">
        <v>4500047016</v>
      </c>
      <c r="I12" s="1">
        <v>46185</v>
      </c>
      <c r="J12" t="s">
        <v>142</v>
      </c>
      <c r="K12" t="s">
        <v>141</v>
      </c>
      <c r="L12" t="s">
        <v>13</v>
      </c>
      <c r="M12" t="s">
        <v>24</v>
      </c>
      <c r="N12" t="s">
        <v>195</v>
      </c>
      <c r="O12">
        <v>13003934</v>
      </c>
      <c r="P12" t="s">
        <v>103</v>
      </c>
      <c r="Q12" t="s">
        <v>454</v>
      </c>
      <c r="R12" s="2">
        <v>3000</v>
      </c>
      <c r="S12">
        <v>5.2</v>
      </c>
      <c r="T12" s="2">
        <v>15600</v>
      </c>
      <c r="U12">
        <v>0</v>
      </c>
      <c r="V12">
        <v>0</v>
      </c>
      <c r="W12" s="2">
        <v>2808</v>
      </c>
      <c r="X12">
        <v>0</v>
      </c>
      <c r="Y12">
        <v>0</v>
      </c>
      <c r="Z12" s="2">
        <v>18408</v>
      </c>
      <c r="AA12">
        <v>0</v>
      </c>
      <c r="AB12">
        <v>0</v>
      </c>
      <c r="AC12" s="2">
        <v>18408</v>
      </c>
      <c r="AD12" t="s">
        <v>55</v>
      </c>
    </row>
    <row r="13" spans="1:30" x14ac:dyDescent="0.35">
      <c r="A13">
        <v>11</v>
      </c>
      <c r="B13">
        <v>281525</v>
      </c>
      <c r="C13">
        <v>328012925</v>
      </c>
      <c r="D13" t="s">
        <v>196</v>
      </c>
      <c r="E13" t="s">
        <v>53</v>
      </c>
      <c r="F13" s="1">
        <v>46238</v>
      </c>
      <c r="G13" t="s">
        <v>197</v>
      </c>
      <c r="H13" t="s">
        <v>456</v>
      </c>
      <c r="I13" s="1">
        <v>46088</v>
      </c>
      <c r="J13" t="s">
        <v>142</v>
      </c>
      <c r="K13" t="s">
        <v>141</v>
      </c>
      <c r="L13" t="s">
        <v>15</v>
      </c>
      <c r="M13" t="s">
        <v>14</v>
      </c>
      <c r="N13" t="s">
        <v>212</v>
      </c>
      <c r="O13" t="s">
        <v>213</v>
      </c>
      <c r="P13" t="s">
        <v>103</v>
      </c>
      <c r="Q13" t="s">
        <v>457</v>
      </c>
      <c r="R13" s="2">
        <v>25000</v>
      </c>
      <c r="S13">
        <v>0.22800000000000001</v>
      </c>
      <c r="T13" s="2">
        <v>5700</v>
      </c>
      <c r="U13">
        <v>0</v>
      </c>
      <c r="V13">
        <v>0</v>
      </c>
      <c r="W13" s="2">
        <v>1026</v>
      </c>
      <c r="X13">
        <v>102.87416</v>
      </c>
      <c r="Y13">
        <v>18.51735</v>
      </c>
      <c r="Z13" s="2">
        <v>6847.3915100000004</v>
      </c>
      <c r="AA13">
        <v>0</v>
      </c>
      <c r="AB13">
        <v>0</v>
      </c>
      <c r="AC13" s="2">
        <v>6847.3915100000004</v>
      </c>
      <c r="AD13" t="s">
        <v>55</v>
      </c>
    </row>
    <row r="14" spans="1:30" x14ac:dyDescent="0.35">
      <c r="A14">
        <v>12</v>
      </c>
      <c r="B14">
        <v>281525</v>
      </c>
      <c r="C14">
        <v>328012925</v>
      </c>
      <c r="D14" t="s">
        <v>196</v>
      </c>
      <c r="E14" t="s">
        <v>53</v>
      </c>
      <c r="F14" s="1">
        <v>46238</v>
      </c>
      <c r="G14" t="s">
        <v>197</v>
      </c>
      <c r="H14" t="s">
        <v>456</v>
      </c>
      <c r="I14" s="1">
        <v>46088</v>
      </c>
      <c r="J14" t="s">
        <v>142</v>
      </c>
      <c r="K14" t="s">
        <v>141</v>
      </c>
      <c r="L14" t="s">
        <v>15</v>
      </c>
      <c r="M14" t="s">
        <v>14</v>
      </c>
      <c r="N14" t="s">
        <v>228</v>
      </c>
      <c r="O14" t="s">
        <v>229</v>
      </c>
      <c r="P14" t="s">
        <v>103</v>
      </c>
      <c r="Q14" t="s">
        <v>457</v>
      </c>
      <c r="R14" s="2">
        <v>5000</v>
      </c>
      <c r="S14">
        <v>0.317</v>
      </c>
      <c r="T14" s="2">
        <v>1585</v>
      </c>
      <c r="U14">
        <v>0</v>
      </c>
      <c r="V14">
        <v>0</v>
      </c>
      <c r="W14">
        <v>285.3</v>
      </c>
      <c r="X14">
        <v>28.60624</v>
      </c>
      <c r="Y14">
        <v>5.1491199999999999</v>
      </c>
      <c r="Z14" s="2">
        <v>1904.0553600000001</v>
      </c>
      <c r="AA14">
        <v>0</v>
      </c>
      <c r="AB14">
        <v>0</v>
      </c>
      <c r="AC14" s="2">
        <v>1904.0553600000001</v>
      </c>
      <c r="AD14" t="s">
        <v>55</v>
      </c>
    </row>
    <row r="15" spans="1:30" x14ac:dyDescent="0.35">
      <c r="A15">
        <v>13</v>
      </c>
      <c r="B15">
        <v>281525</v>
      </c>
      <c r="C15">
        <v>328012925</v>
      </c>
      <c r="D15" t="s">
        <v>196</v>
      </c>
      <c r="E15" t="s">
        <v>53</v>
      </c>
      <c r="F15" s="1">
        <v>46238</v>
      </c>
      <c r="G15" t="s">
        <v>197</v>
      </c>
      <c r="H15" t="s">
        <v>456</v>
      </c>
      <c r="I15" s="1">
        <v>46088</v>
      </c>
      <c r="J15" t="s">
        <v>142</v>
      </c>
      <c r="K15" t="s">
        <v>141</v>
      </c>
      <c r="L15" t="s">
        <v>15</v>
      </c>
      <c r="M15" t="s">
        <v>14</v>
      </c>
      <c r="N15" t="s">
        <v>206</v>
      </c>
      <c r="O15" t="s">
        <v>207</v>
      </c>
      <c r="P15" t="s">
        <v>103</v>
      </c>
      <c r="Q15" t="s">
        <v>458</v>
      </c>
      <c r="R15" s="2">
        <v>4500</v>
      </c>
      <c r="S15">
        <v>5.53</v>
      </c>
      <c r="T15" s="2">
        <v>24885</v>
      </c>
      <c r="U15">
        <v>0</v>
      </c>
      <c r="V15">
        <v>0</v>
      </c>
      <c r="W15" s="2">
        <v>4479.3</v>
      </c>
      <c r="X15">
        <v>449.12691999999998</v>
      </c>
      <c r="Y15">
        <v>80.842849999999999</v>
      </c>
      <c r="Z15" s="2">
        <v>29894.269769999999</v>
      </c>
      <c r="AA15">
        <v>0</v>
      </c>
      <c r="AB15">
        <v>0</v>
      </c>
      <c r="AC15" s="2">
        <v>29894.269769999999</v>
      </c>
      <c r="AD15" t="s">
        <v>55</v>
      </c>
    </row>
    <row r="16" spans="1:30" x14ac:dyDescent="0.35">
      <c r="A16">
        <v>14</v>
      </c>
      <c r="B16">
        <v>281525</v>
      </c>
      <c r="C16">
        <v>328012925</v>
      </c>
      <c r="D16" t="s">
        <v>196</v>
      </c>
      <c r="E16" t="s">
        <v>53</v>
      </c>
      <c r="F16" s="1">
        <v>46238</v>
      </c>
      <c r="G16" t="s">
        <v>197</v>
      </c>
      <c r="H16" t="s">
        <v>456</v>
      </c>
      <c r="I16" s="1">
        <v>46088</v>
      </c>
      <c r="J16" t="s">
        <v>142</v>
      </c>
      <c r="K16" t="s">
        <v>141</v>
      </c>
      <c r="L16" t="s">
        <v>15</v>
      </c>
      <c r="M16" t="s">
        <v>14</v>
      </c>
      <c r="N16" t="s">
        <v>216</v>
      </c>
      <c r="O16" t="s">
        <v>217</v>
      </c>
      <c r="P16" t="s">
        <v>103</v>
      </c>
      <c r="Q16" t="s">
        <v>457</v>
      </c>
      <c r="R16" s="2">
        <v>5000</v>
      </c>
      <c r="S16">
        <v>2.72</v>
      </c>
      <c r="T16" s="2">
        <v>13600</v>
      </c>
      <c r="U16">
        <v>0</v>
      </c>
      <c r="V16">
        <v>0</v>
      </c>
      <c r="W16" s="2">
        <v>2448</v>
      </c>
      <c r="X16">
        <v>245.45414</v>
      </c>
      <c r="Y16">
        <v>44.181739999999998</v>
      </c>
      <c r="Z16" s="2">
        <v>16337.63588</v>
      </c>
      <c r="AA16">
        <v>0</v>
      </c>
      <c r="AB16">
        <v>0</v>
      </c>
      <c r="AC16" s="2">
        <v>16337.63588</v>
      </c>
      <c r="AD16" t="s">
        <v>55</v>
      </c>
    </row>
    <row r="17" spans="1:30" x14ac:dyDescent="0.35">
      <c r="A17">
        <v>15</v>
      </c>
      <c r="B17">
        <v>281525</v>
      </c>
      <c r="C17">
        <v>328012925</v>
      </c>
      <c r="D17" t="s">
        <v>196</v>
      </c>
      <c r="E17" t="s">
        <v>53</v>
      </c>
      <c r="F17" s="1">
        <v>46238</v>
      </c>
      <c r="G17" t="s">
        <v>197</v>
      </c>
      <c r="H17" t="s">
        <v>456</v>
      </c>
      <c r="I17" s="1">
        <v>46088</v>
      </c>
      <c r="J17" t="s">
        <v>142</v>
      </c>
      <c r="K17" t="s">
        <v>141</v>
      </c>
      <c r="L17" t="s">
        <v>15</v>
      </c>
      <c r="M17" t="s">
        <v>14</v>
      </c>
      <c r="N17" t="s">
        <v>202</v>
      </c>
      <c r="O17" t="s">
        <v>203</v>
      </c>
      <c r="P17" t="s">
        <v>103</v>
      </c>
      <c r="Q17" t="s">
        <v>457</v>
      </c>
      <c r="R17" s="2">
        <v>10000</v>
      </c>
      <c r="S17">
        <v>0.22800000000000001</v>
      </c>
      <c r="T17" s="2">
        <v>2280</v>
      </c>
      <c r="U17">
        <v>0</v>
      </c>
      <c r="V17">
        <v>0</v>
      </c>
      <c r="W17">
        <v>410.4</v>
      </c>
      <c r="X17">
        <v>41.149659999999997</v>
      </c>
      <c r="Y17">
        <v>7.4069399999999996</v>
      </c>
      <c r="Z17" s="2">
        <v>2738.9566</v>
      </c>
      <c r="AA17">
        <v>0</v>
      </c>
      <c r="AB17">
        <v>0</v>
      </c>
      <c r="AC17" s="2">
        <v>2738.9566</v>
      </c>
      <c r="AD17" t="s">
        <v>55</v>
      </c>
    </row>
    <row r="18" spans="1:30" x14ac:dyDescent="0.35">
      <c r="A18">
        <v>16</v>
      </c>
      <c r="B18">
        <v>281525</v>
      </c>
      <c r="C18">
        <v>328012925</v>
      </c>
      <c r="D18" t="s">
        <v>196</v>
      </c>
      <c r="E18" t="s">
        <v>53</v>
      </c>
      <c r="F18" s="1">
        <v>46238</v>
      </c>
      <c r="G18" t="s">
        <v>197</v>
      </c>
      <c r="H18" t="s">
        <v>456</v>
      </c>
      <c r="I18" s="1">
        <v>46088</v>
      </c>
      <c r="J18" t="s">
        <v>142</v>
      </c>
      <c r="K18" t="s">
        <v>141</v>
      </c>
      <c r="L18" t="s">
        <v>15</v>
      </c>
      <c r="M18" t="s">
        <v>14</v>
      </c>
      <c r="N18" t="s">
        <v>218</v>
      </c>
      <c r="O18" t="s">
        <v>219</v>
      </c>
      <c r="P18" t="s">
        <v>103</v>
      </c>
      <c r="Q18" t="s">
        <v>457</v>
      </c>
      <c r="R18" s="2">
        <v>30000</v>
      </c>
      <c r="S18">
        <v>0.317</v>
      </c>
      <c r="T18" s="2">
        <v>9510</v>
      </c>
      <c r="U18">
        <v>0</v>
      </c>
      <c r="V18">
        <v>0</v>
      </c>
      <c r="W18" s="2">
        <v>1711.8</v>
      </c>
      <c r="X18">
        <v>171.63740999999999</v>
      </c>
      <c r="Y18">
        <v>30.894729999999999</v>
      </c>
      <c r="Z18" s="2">
        <v>11424.33215</v>
      </c>
      <c r="AA18">
        <v>0</v>
      </c>
      <c r="AB18">
        <v>0</v>
      </c>
      <c r="AC18" s="2">
        <v>11424.33215</v>
      </c>
      <c r="AD18" t="s">
        <v>55</v>
      </c>
    </row>
    <row r="19" spans="1:30" x14ac:dyDescent="0.35">
      <c r="A19">
        <v>17</v>
      </c>
      <c r="B19">
        <v>281525</v>
      </c>
      <c r="C19">
        <v>328012925</v>
      </c>
      <c r="D19" t="s">
        <v>196</v>
      </c>
      <c r="E19" t="s">
        <v>53</v>
      </c>
      <c r="F19" s="1">
        <v>46238</v>
      </c>
      <c r="G19" t="s">
        <v>197</v>
      </c>
      <c r="H19" t="s">
        <v>456</v>
      </c>
      <c r="I19" s="1">
        <v>46088</v>
      </c>
      <c r="J19" t="s">
        <v>142</v>
      </c>
      <c r="K19" t="s">
        <v>141</v>
      </c>
      <c r="L19" t="s">
        <v>15</v>
      </c>
      <c r="M19" t="s">
        <v>14</v>
      </c>
      <c r="N19" t="s">
        <v>220</v>
      </c>
      <c r="O19" t="s">
        <v>221</v>
      </c>
      <c r="P19" t="s">
        <v>103</v>
      </c>
      <c r="Q19" t="s">
        <v>457</v>
      </c>
      <c r="R19" s="2">
        <v>5000</v>
      </c>
      <c r="S19">
        <v>0.317</v>
      </c>
      <c r="T19" s="2">
        <v>1585</v>
      </c>
      <c r="U19">
        <v>0</v>
      </c>
      <c r="V19">
        <v>0</v>
      </c>
      <c r="W19">
        <v>285.3</v>
      </c>
      <c r="X19">
        <v>28.60624</v>
      </c>
      <c r="Y19">
        <v>5.1491199999999999</v>
      </c>
      <c r="Z19" s="2">
        <v>1904.0553600000001</v>
      </c>
      <c r="AA19">
        <v>0</v>
      </c>
      <c r="AB19">
        <v>0</v>
      </c>
      <c r="AC19" s="2">
        <v>1904.0553600000001</v>
      </c>
      <c r="AD19" t="s">
        <v>55</v>
      </c>
    </row>
    <row r="20" spans="1:30" x14ac:dyDescent="0.35">
      <c r="A20">
        <v>18</v>
      </c>
      <c r="B20">
        <v>281525</v>
      </c>
      <c r="C20">
        <v>328012925</v>
      </c>
      <c r="D20" t="s">
        <v>196</v>
      </c>
      <c r="E20" t="s">
        <v>53</v>
      </c>
      <c r="F20" s="1">
        <v>46238</v>
      </c>
      <c r="G20" t="s">
        <v>197</v>
      </c>
      <c r="H20" t="s">
        <v>456</v>
      </c>
      <c r="I20" s="1">
        <v>46088</v>
      </c>
      <c r="J20" t="s">
        <v>142</v>
      </c>
      <c r="K20" t="s">
        <v>141</v>
      </c>
      <c r="L20" t="s">
        <v>15</v>
      </c>
      <c r="M20" t="s">
        <v>14</v>
      </c>
      <c r="N20" t="s">
        <v>208</v>
      </c>
      <c r="O20" t="s">
        <v>209</v>
      </c>
      <c r="P20" t="s">
        <v>103</v>
      </c>
      <c r="Q20" t="s">
        <v>457</v>
      </c>
      <c r="R20" s="2">
        <v>10000</v>
      </c>
      <c r="S20">
        <v>0.317</v>
      </c>
      <c r="T20" s="2">
        <v>3170</v>
      </c>
      <c r="U20">
        <v>0</v>
      </c>
      <c r="V20">
        <v>0</v>
      </c>
      <c r="W20">
        <v>570.6</v>
      </c>
      <c r="X20">
        <v>57.212470000000003</v>
      </c>
      <c r="Y20">
        <v>10.29824</v>
      </c>
      <c r="Z20" s="2">
        <v>3808.1107200000001</v>
      </c>
      <c r="AA20">
        <v>0</v>
      </c>
      <c r="AB20">
        <v>0</v>
      </c>
      <c r="AC20" s="2">
        <v>3808.1107200000001</v>
      </c>
      <c r="AD20" t="s">
        <v>55</v>
      </c>
    </row>
    <row r="21" spans="1:30" x14ac:dyDescent="0.35">
      <c r="A21">
        <v>19</v>
      </c>
      <c r="B21">
        <v>281525</v>
      </c>
      <c r="C21">
        <v>328012925</v>
      </c>
      <c r="D21" t="s">
        <v>196</v>
      </c>
      <c r="E21" t="s">
        <v>53</v>
      </c>
      <c r="F21" s="1">
        <v>46238</v>
      </c>
      <c r="G21" t="s">
        <v>197</v>
      </c>
      <c r="H21" t="s">
        <v>456</v>
      </c>
      <c r="I21" s="1">
        <v>46088</v>
      </c>
      <c r="J21" t="s">
        <v>142</v>
      </c>
      <c r="K21" t="s">
        <v>141</v>
      </c>
      <c r="L21" t="s">
        <v>15</v>
      </c>
      <c r="M21" t="s">
        <v>14</v>
      </c>
      <c r="N21" t="s">
        <v>226</v>
      </c>
      <c r="O21" t="s">
        <v>227</v>
      </c>
      <c r="P21" t="s">
        <v>103</v>
      </c>
      <c r="Q21" t="s">
        <v>457</v>
      </c>
      <c r="R21" s="2">
        <v>10000</v>
      </c>
      <c r="S21">
        <v>0.317</v>
      </c>
      <c r="T21" s="2">
        <v>3170</v>
      </c>
      <c r="U21">
        <v>0</v>
      </c>
      <c r="V21">
        <v>0</v>
      </c>
      <c r="W21">
        <v>570.6</v>
      </c>
      <c r="X21">
        <v>57.212470000000003</v>
      </c>
      <c r="Y21">
        <v>10.29824</v>
      </c>
      <c r="Z21" s="2">
        <v>3808.1107200000001</v>
      </c>
      <c r="AA21">
        <v>0</v>
      </c>
      <c r="AB21">
        <v>0</v>
      </c>
      <c r="AC21" s="2">
        <v>3808.1107200000001</v>
      </c>
      <c r="AD21" t="s">
        <v>55</v>
      </c>
    </row>
    <row r="22" spans="1:30" x14ac:dyDescent="0.35">
      <c r="A22">
        <v>20</v>
      </c>
      <c r="B22">
        <v>281525</v>
      </c>
      <c r="C22">
        <v>328012925</v>
      </c>
      <c r="D22" t="s">
        <v>196</v>
      </c>
      <c r="E22" t="s">
        <v>53</v>
      </c>
      <c r="F22" s="1">
        <v>46238</v>
      </c>
      <c r="G22" t="s">
        <v>197</v>
      </c>
      <c r="H22" t="s">
        <v>456</v>
      </c>
      <c r="I22" s="1">
        <v>46088</v>
      </c>
      <c r="J22" t="s">
        <v>142</v>
      </c>
      <c r="K22" t="s">
        <v>141</v>
      </c>
      <c r="L22" t="s">
        <v>15</v>
      </c>
      <c r="M22" t="s">
        <v>14</v>
      </c>
      <c r="N22" t="s">
        <v>224</v>
      </c>
      <c r="O22" t="s">
        <v>225</v>
      </c>
      <c r="P22" t="s">
        <v>103</v>
      </c>
      <c r="Q22" t="s">
        <v>457</v>
      </c>
      <c r="R22" s="2">
        <v>5000</v>
      </c>
      <c r="S22">
        <v>2.72</v>
      </c>
      <c r="T22" s="2">
        <v>13600</v>
      </c>
      <c r="U22">
        <v>0</v>
      </c>
      <c r="V22">
        <v>0</v>
      </c>
      <c r="W22" s="2">
        <v>2448</v>
      </c>
      <c r="X22">
        <v>245.45414</v>
      </c>
      <c r="Y22">
        <v>44.181739999999998</v>
      </c>
      <c r="Z22" s="2">
        <v>16337.63588</v>
      </c>
      <c r="AA22">
        <v>0</v>
      </c>
      <c r="AB22">
        <v>0</v>
      </c>
      <c r="AC22" s="2">
        <v>16337.63588</v>
      </c>
      <c r="AD22" t="s">
        <v>55</v>
      </c>
    </row>
    <row r="23" spans="1:30" x14ac:dyDescent="0.35">
      <c r="A23">
        <v>21</v>
      </c>
      <c r="B23">
        <v>281525</v>
      </c>
      <c r="C23">
        <v>328012925</v>
      </c>
      <c r="D23" t="s">
        <v>196</v>
      </c>
      <c r="E23" t="s">
        <v>53</v>
      </c>
      <c r="F23" s="1">
        <v>46238</v>
      </c>
      <c r="G23" t="s">
        <v>197</v>
      </c>
      <c r="H23" t="s">
        <v>456</v>
      </c>
      <c r="I23" s="1">
        <v>46088</v>
      </c>
      <c r="J23" t="s">
        <v>142</v>
      </c>
      <c r="K23" t="s">
        <v>141</v>
      </c>
      <c r="L23" t="s">
        <v>15</v>
      </c>
      <c r="M23" t="s">
        <v>14</v>
      </c>
      <c r="N23" t="s">
        <v>204</v>
      </c>
      <c r="O23" t="s">
        <v>205</v>
      </c>
      <c r="P23" t="s">
        <v>103</v>
      </c>
      <c r="Q23" t="s">
        <v>457</v>
      </c>
      <c r="R23" s="2">
        <v>10000</v>
      </c>
      <c r="S23">
        <v>0.22800000000000001</v>
      </c>
      <c r="T23" s="2">
        <v>2280</v>
      </c>
      <c r="U23">
        <v>0</v>
      </c>
      <c r="V23">
        <v>0</v>
      </c>
      <c r="W23">
        <v>410.4</v>
      </c>
      <c r="X23">
        <v>41.149659999999997</v>
      </c>
      <c r="Y23">
        <v>7.4069399999999996</v>
      </c>
      <c r="Z23" s="2">
        <v>2738.9566</v>
      </c>
      <c r="AA23">
        <v>0</v>
      </c>
      <c r="AB23">
        <v>0</v>
      </c>
      <c r="AC23" s="2">
        <v>2738.9566</v>
      </c>
      <c r="AD23" t="s">
        <v>55</v>
      </c>
    </row>
    <row r="24" spans="1:30" x14ac:dyDescent="0.35">
      <c r="A24">
        <v>22</v>
      </c>
      <c r="B24">
        <v>281525</v>
      </c>
      <c r="C24">
        <v>328012925</v>
      </c>
      <c r="D24" t="s">
        <v>196</v>
      </c>
      <c r="E24" t="s">
        <v>53</v>
      </c>
      <c r="F24" s="1">
        <v>46238</v>
      </c>
      <c r="G24" t="s">
        <v>197</v>
      </c>
      <c r="H24" t="s">
        <v>456</v>
      </c>
      <c r="I24" s="1">
        <v>46088</v>
      </c>
      <c r="J24" t="s">
        <v>142</v>
      </c>
      <c r="K24" t="s">
        <v>141</v>
      </c>
      <c r="L24" t="s">
        <v>15</v>
      </c>
      <c r="M24" t="s">
        <v>14</v>
      </c>
      <c r="N24" t="s">
        <v>210</v>
      </c>
      <c r="O24" t="s">
        <v>211</v>
      </c>
      <c r="P24" t="s">
        <v>103</v>
      </c>
      <c r="Q24" t="s">
        <v>457</v>
      </c>
      <c r="R24" s="2">
        <v>20000</v>
      </c>
      <c r="S24">
        <v>0.317</v>
      </c>
      <c r="T24" s="2">
        <v>6340</v>
      </c>
      <c r="U24">
        <v>0</v>
      </c>
      <c r="V24">
        <v>0</v>
      </c>
      <c r="W24" s="2">
        <v>1141.2</v>
      </c>
      <c r="X24">
        <v>114.42494000000001</v>
      </c>
      <c r="Y24">
        <v>20.596489999999999</v>
      </c>
      <c r="Z24" s="2">
        <v>7616.2214299999996</v>
      </c>
      <c r="AA24">
        <v>0</v>
      </c>
      <c r="AB24">
        <v>0</v>
      </c>
      <c r="AC24" s="2">
        <v>7616.2214299999996</v>
      </c>
      <c r="AD24" t="s">
        <v>55</v>
      </c>
    </row>
    <row r="25" spans="1:30" x14ac:dyDescent="0.35">
      <c r="A25">
        <v>23</v>
      </c>
      <c r="B25">
        <v>281525</v>
      </c>
      <c r="C25">
        <v>328012925</v>
      </c>
      <c r="D25" t="s">
        <v>196</v>
      </c>
      <c r="E25" t="s">
        <v>53</v>
      </c>
      <c r="F25" s="1">
        <v>46238</v>
      </c>
      <c r="G25" t="s">
        <v>197</v>
      </c>
      <c r="H25" t="s">
        <v>456</v>
      </c>
      <c r="I25" s="1">
        <v>46088</v>
      </c>
      <c r="J25" t="s">
        <v>142</v>
      </c>
      <c r="K25" t="s">
        <v>141</v>
      </c>
      <c r="L25" t="s">
        <v>15</v>
      </c>
      <c r="M25" t="s">
        <v>14</v>
      </c>
      <c r="N25" t="s">
        <v>214</v>
      </c>
      <c r="O25" t="s">
        <v>215</v>
      </c>
      <c r="P25" t="s">
        <v>103</v>
      </c>
      <c r="Q25" t="s">
        <v>457</v>
      </c>
      <c r="R25" s="2">
        <v>5000</v>
      </c>
      <c r="S25">
        <v>0.317</v>
      </c>
      <c r="T25" s="2">
        <v>1585</v>
      </c>
      <c r="U25">
        <v>0</v>
      </c>
      <c r="V25">
        <v>0</v>
      </c>
      <c r="W25">
        <v>285.3</v>
      </c>
      <c r="X25">
        <v>28.60624</v>
      </c>
      <c r="Y25">
        <v>5.1491199999999999</v>
      </c>
      <c r="Z25" s="2">
        <v>1904.0553600000001</v>
      </c>
      <c r="AA25">
        <v>0</v>
      </c>
      <c r="AB25">
        <v>0</v>
      </c>
      <c r="AC25" s="2">
        <v>1904.0553600000001</v>
      </c>
      <c r="AD25" t="s">
        <v>55</v>
      </c>
    </row>
    <row r="26" spans="1:30" x14ac:dyDescent="0.35">
      <c r="A26">
        <v>24</v>
      </c>
      <c r="B26">
        <v>281525</v>
      </c>
      <c r="C26">
        <v>328012925</v>
      </c>
      <c r="D26" t="s">
        <v>196</v>
      </c>
      <c r="E26" t="s">
        <v>53</v>
      </c>
      <c r="F26" s="1">
        <v>46238</v>
      </c>
      <c r="G26" t="s">
        <v>197</v>
      </c>
      <c r="H26" t="s">
        <v>456</v>
      </c>
      <c r="I26" s="1">
        <v>46088</v>
      </c>
      <c r="J26" t="s">
        <v>142</v>
      </c>
      <c r="K26" t="s">
        <v>141</v>
      </c>
      <c r="L26" t="s">
        <v>15</v>
      </c>
      <c r="M26" t="s">
        <v>14</v>
      </c>
      <c r="N26" t="s">
        <v>200</v>
      </c>
      <c r="O26" t="s">
        <v>201</v>
      </c>
      <c r="P26" t="s">
        <v>103</v>
      </c>
      <c r="Q26" t="s">
        <v>457</v>
      </c>
      <c r="R26" s="2">
        <v>5000</v>
      </c>
      <c r="S26">
        <v>2.72</v>
      </c>
      <c r="T26" s="2">
        <v>13600</v>
      </c>
      <c r="U26">
        <v>0</v>
      </c>
      <c r="V26">
        <v>0</v>
      </c>
      <c r="W26" s="2">
        <v>2448</v>
      </c>
      <c r="X26">
        <v>245.45414</v>
      </c>
      <c r="Y26">
        <v>44.181739999999998</v>
      </c>
      <c r="Z26" s="2">
        <v>16337.63588</v>
      </c>
      <c r="AA26">
        <v>0</v>
      </c>
      <c r="AB26">
        <v>0</v>
      </c>
      <c r="AC26" s="2">
        <v>16337.63588</v>
      </c>
      <c r="AD26" t="s">
        <v>55</v>
      </c>
    </row>
    <row r="27" spans="1:30" x14ac:dyDescent="0.35">
      <c r="A27">
        <v>25</v>
      </c>
      <c r="B27">
        <v>281525</v>
      </c>
      <c r="C27">
        <v>328012925</v>
      </c>
      <c r="D27" t="s">
        <v>196</v>
      </c>
      <c r="E27" t="s">
        <v>53</v>
      </c>
      <c r="F27" s="1">
        <v>46238</v>
      </c>
      <c r="G27" t="s">
        <v>197</v>
      </c>
      <c r="H27" t="s">
        <v>456</v>
      </c>
      <c r="I27" s="1">
        <v>46088</v>
      </c>
      <c r="J27" t="s">
        <v>142</v>
      </c>
      <c r="K27" t="s">
        <v>141</v>
      </c>
      <c r="L27" t="s">
        <v>15</v>
      </c>
      <c r="M27" t="s">
        <v>14</v>
      </c>
      <c r="N27" t="s">
        <v>222</v>
      </c>
      <c r="O27" t="s">
        <v>223</v>
      </c>
      <c r="P27" t="s">
        <v>103</v>
      </c>
      <c r="Q27" t="s">
        <v>457</v>
      </c>
      <c r="R27" s="2">
        <v>15000</v>
      </c>
      <c r="S27">
        <v>0.317</v>
      </c>
      <c r="T27" s="2">
        <v>4755</v>
      </c>
      <c r="U27">
        <v>0</v>
      </c>
      <c r="V27">
        <v>0</v>
      </c>
      <c r="W27">
        <v>855.9</v>
      </c>
      <c r="X27">
        <v>85.818709999999996</v>
      </c>
      <c r="Y27">
        <v>15.447369999999999</v>
      </c>
      <c r="Z27" s="2">
        <v>5712.1660700000002</v>
      </c>
      <c r="AA27">
        <v>0</v>
      </c>
      <c r="AB27">
        <v>0</v>
      </c>
      <c r="AC27" s="2">
        <v>5712.1660700000002</v>
      </c>
      <c r="AD27" t="s">
        <v>55</v>
      </c>
    </row>
    <row r="28" spans="1:30" x14ac:dyDescent="0.35">
      <c r="A28">
        <v>26</v>
      </c>
      <c r="B28">
        <v>281525</v>
      </c>
      <c r="C28">
        <v>328012925</v>
      </c>
      <c r="D28" t="s">
        <v>196</v>
      </c>
      <c r="E28" t="s">
        <v>53</v>
      </c>
      <c r="F28" s="1">
        <v>46238</v>
      </c>
      <c r="G28" t="s">
        <v>197</v>
      </c>
      <c r="H28" t="s">
        <v>456</v>
      </c>
      <c r="I28" s="1">
        <v>46088</v>
      </c>
      <c r="J28" t="s">
        <v>142</v>
      </c>
      <c r="K28" t="s">
        <v>141</v>
      </c>
      <c r="L28" t="s">
        <v>15</v>
      </c>
      <c r="M28" t="s">
        <v>14</v>
      </c>
      <c r="N28" t="s">
        <v>230</v>
      </c>
      <c r="O28" t="s">
        <v>231</v>
      </c>
      <c r="P28" t="s">
        <v>103</v>
      </c>
      <c r="Q28" t="s">
        <v>457</v>
      </c>
      <c r="R28" s="2">
        <v>5000</v>
      </c>
      <c r="S28">
        <v>0.317</v>
      </c>
      <c r="T28" s="2">
        <v>1585</v>
      </c>
      <c r="U28">
        <v>0</v>
      </c>
      <c r="V28">
        <v>0</v>
      </c>
      <c r="W28">
        <v>285.3</v>
      </c>
      <c r="X28">
        <v>28.60624</v>
      </c>
      <c r="Y28">
        <v>5.1491199999999999</v>
      </c>
      <c r="Z28" s="2">
        <v>1904.0553600000001</v>
      </c>
      <c r="AA28">
        <v>0</v>
      </c>
      <c r="AB28">
        <v>0</v>
      </c>
      <c r="AC28" s="2">
        <v>1904.0553600000001</v>
      </c>
      <c r="AD28" t="s">
        <v>55</v>
      </c>
    </row>
    <row r="29" spans="1:30" x14ac:dyDescent="0.35">
      <c r="A29">
        <v>27</v>
      </c>
      <c r="B29">
        <v>281525</v>
      </c>
      <c r="C29">
        <v>328012925</v>
      </c>
      <c r="D29" t="s">
        <v>196</v>
      </c>
      <c r="E29" t="s">
        <v>53</v>
      </c>
      <c r="F29" s="1">
        <v>46238</v>
      </c>
      <c r="G29" t="s">
        <v>197</v>
      </c>
      <c r="H29" t="s">
        <v>456</v>
      </c>
      <c r="I29" s="1">
        <v>46088</v>
      </c>
      <c r="J29" t="s">
        <v>142</v>
      </c>
      <c r="K29" t="s">
        <v>141</v>
      </c>
      <c r="L29" t="s">
        <v>15</v>
      </c>
      <c r="M29" t="s">
        <v>14</v>
      </c>
      <c r="N29" t="s">
        <v>198</v>
      </c>
      <c r="O29" t="s">
        <v>199</v>
      </c>
      <c r="P29" t="s">
        <v>103</v>
      </c>
      <c r="Q29" t="s">
        <v>457</v>
      </c>
      <c r="R29" s="2">
        <v>5000</v>
      </c>
      <c r="S29">
        <v>0.317</v>
      </c>
      <c r="T29" s="2">
        <v>1585</v>
      </c>
      <c r="U29">
        <v>0</v>
      </c>
      <c r="V29">
        <v>0</v>
      </c>
      <c r="W29">
        <v>645.29999999999995</v>
      </c>
      <c r="X29">
        <v>28.60624</v>
      </c>
      <c r="Y29">
        <v>5.1491199999999999</v>
      </c>
      <c r="Z29" s="2">
        <v>1904.0553600000001</v>
      </c>
      <c r="AA29">
        <v>0</v>
      </c>
      <c r="AB29">
        <v>0</v>
      </c>
      <c r="AC29" s="2">
        <v>1904.0553600000001</v>
      </c>
      <c r="AD29" t="s">
        <v>55</v>
      </c>
    </row>
    <row r="30" spans="1:30" x14ac:dyDescent="0.35">
      <c r="A30">
        <v>28</v>
      </c>
      <c r="B30">
        <v>281564</v>
      </c>
      <c r="C30">
        <v>328012951</v>
      </c>
      <c r="D30" t="s">
        <v>232</v>
      </c>
      <c r="E30" t="s">
        <v>53</v>
      </c>
      <c r="F30" s="1">
        <v>46238</v>
      </c>
      <c r="G30" t="s">
        <v>233</v>
      </c>
      <c r="H30" t="s">
        <v>459</v>
      </c>
      <c r="I30" s="1">
        <v>46122</v>
      </c>
      <c r="J30" t="s">
        <v>142</v>
      </c>
      <c r="K30" t="s">
        <v>446</v>
      </c>
      <c r="L30" t="s">
        <v>12</v>
      </c>
      <c r="M30" t="s">
        <v>21</v>
      </c>
      <c r="N30" t="s">
        <v>234</v>
      </c>
      <c r="P30" t="s">
        <v>235</v>
      </c>
      <c r="Q30" t="s">
        <v>460</v>
      </c>
      <c r="R30">
        <v>400</v>
      </c>
      <c r="S30" s="2">
        <v>7415</v>
      </c>
      <c r="T30" s="2">
        <v>2966000</v>
      </c>
      <c r="U30">
        <v>0</v>
      </c>
      <c r="V30">
        <v>0</v>
      </c>
      <c r="W30" s="2">
        <v>533880</v>
      </c>
      <c r="X30">
        <v>0</v>
      </c>
      <c r="Y30">
        <v>0</v>
      </c>
      <c r="Z30" s="2">
        <v>3499880</v>
      </c>
      <c r="AA30">
        <v>0</v>
      </c>
      <c r="AB30">
        <v>0</v>
      </c>
      <c r="AC30" s="2">
        <v>3499880</v>
      </c>
      <c r="AD30" t="s">
        <v>57</v>
      </c>
    </row>
    <row r="31" spans="1:30" x14ac:dyDescent="0.35">
      <c r="A31">
        <v>29</v>
      </c>
      <c r="B31">
        <v>281565</v>
      </c>
      <c r="C31">
        <v>328012952</v>
      </c>
      <c r="D31" t="s">
        <v>236</v>
      </c>
      <c r="E31" t="s">
        <v>53</v>
      </c>
      <c r="F31" s="1">
        <v>46238</v>
      </c>
      <c r="G31" t="s">
        <v>92</v>
      </c>
      <c r="H31" t="s">
        <v>461</v>
      </c>
      <c r="I31" s="1">
        <v>46192</v>
      </c>
      <c r="J31" t="s">
        <v>142</v>
      </c>
      <c r="K31" t="s">
        <v>143</v>
      </c>
      <c r="L31" t="s">
        <v>12</v>
      </c>
      <c r="M31" t="s">
        <v>21</v>
      </c>
      <c r="N31" t="s">
        <v>93</v>
      </c>
      <c r="P31" t="s">
        <v>56</v>
      </c>
      <c r="Q31" t="s">
        <v>443</v>
      </c>
      <c r="R31" s="2">
        <v>3000</v>
      </c>
      <c r="S31">
        <v>33.25</v>
      </c>
      <c r="T31" s="2">
        <v>99750</v>
      </c>
      <c r="U31">
        <v>0</v>
      </c>
      <c r="V31">
        <v>0</v>
      </c>
      <c r="W31" s="2">
        <v>17955</v>
      </c>
      <c r="X31">
        <v>0</v>
      </c>
      <c r="Y31">
        <v>0</v>
      </c>
      <c r="Z31" s="2">
        <v>117705</v>
      </c>
      <c r="AA31">
        <v>0</v>
      </c>
      <c r="AB31">
        <v>0</v>
      </c>
      <c r="AC31" s="2">
        <v>117705</v>
      </c>
      <c r="AD31" t="s">
        <v>57</v>
      </c>
    </row>
    <row r="32" spans="1:30" x14ac:dyDescent="0.35">
      <c r="A32">
        <v>30</v>
      </c>
      <c r="B32">
        <v>281595</v>
      </c>
      <c r="C32">
        <v>328012975</v>
      </c>
      <c r="D32" t="s">
        <v>237</v>
      </c>
      <c r="E32" t="s">
        <v>53</v>
      </c>
      <c r="F32" s="1">
        <v>46238</v>
      </c>
      <c r="G32" t="s">
        <v>89</v>
      </c>
      <c r="H32">
        <v>4501089204</v>
      </c>
      <c r="I32" s="1">
        <v>46213</v>
      </c>
      <c r="J32" t="s">
        <v>142</v>
      </c>
      <c r="K32" t="s">
        <v>141</v>
      </c>
      <c r="L32" t="s">
        <v>18</v>
      </c>
      <c r="M32" t="s">
        <v>21</v>
      </c>
      <c r="N32" t="s">
        <v>102</v>
      </c>
      <c r="O32" t="s">
        <v>154</v>
      </c>
      <c r="P32" t="s">
        <v>103</v>
      </c>
      <c r="Q32" t="s">
        <v>462</v>
      </c>
      <c r="R32" s="2">
        <v>30400</v>
      </c>
      <c r="S32">
        <v>39.1</v>
      </c>
      <c r="T32" s="2">
        <v>1188640</v>
      </c>
      <c r="U32">
        <v>0</v>
      </c>
      <c r="V32">
        <v>0</v>
      </c>
      <c r="W32" s="2">
        <v>213955.20000000001</v>
      </c>
      <c r="X32">
        <v>0</v>
      </c>
      <c r="Y32">
        <v>0</v>
      </c>
      <c r="Z32" s="2">
        <v>1402595.2</v>
      </c>
      <c r="AA32">
        <v>0</v>
      </c>
      <c r="AB32">
        <v>0</v>
      </c>
      <c r="AC32" s="2">
        <v>1402595.2</v>
      </c>
      <c r="AD32" t="s">
        <v>55</v>
      </c>
    </row>
    <row r="33" spans="1:30" x14ac:dyDescent="0.35">
      <c r="A33">
        <v>31</v>
      </c>
      <c r="B33">
        <v>281595</v>
      </c>
      <c r="C33">
        <v>328012975</v>
      </c>
      <c r="D33" t="s">
        <v>237</v>
      </c>
      <c r="E33" t="s">
        <v>53</v>
      </c>
      <c r="F33" s="1">
        <v>46238</v>
      </c>
      <c r="G33" t="s">
        <v>89</v>
      </c>
      <c r="H33">
        <v>4501089204</v>
      </c>
      <c r="I33" s="1">
        <v>46213</v>
      </c>
      <c r="J33" t="s">
        <v>142</v>
      </c>
      <c r="K33" t="s">
        <v>141</v>
      </c>
      <c r="L33" t="s">
        <v>18</v>
      </c>
      <c r="M33" t="s">
        <v>21</v>
      </c>
      <c r="N33" t="s">
        <v>102</v>
      </c>
      <c r="O33" t="s">
        <v>154</v>
      </c>
      <c r="P33" t="s">
        <v>103</v>
      </c>
      <c r="Q33" t="s">
        <v>462</v>
      </c>
      <c r="R33" s="2">
        <v>9600</v>
      </c>
      <c r="S33">
        <v>39.1</v>
      </c>
      <c r="T33" s="2">
        <v>375360</v>
      </c>
      <c r="U33">
        <v>0</v>
      </c>
      <c r="V33">
        <v>0</v>
      </c>
      <c r="W33" s="2">
        <v>67564.800000000003</v>
      </c>
      <c r="X33">
        <v>0</v>
      </c>
      <c r="Y33">
        <v>0</v>
      </c>
      <c r="Z33" s="2">
        <v>442924.79999999999</v>
      </c>
      <c r="AA33">
        <v>0</v>
      </c>
      <c r="AB33">
        <v>0</v>
      </c>
      <c r="AC33" s="2">
        <v>442924.79999999999</v>
      </c>
      <c r="AD33" t="s">
        <v>55</v>
      </c>
    </row>
    <row r="34" spans="1:30" x14ac:dyDescent="0.35">
      <c r="A34">
        <v>32</v>
      </c>
      <c r="B34">
        <v>281600</v>
      </c>
      <c r="C34">
        <v>328012979</v>
      </c>
      <c r="D34" t="s">
        <v>238</v>
      </c>
      <c r="E34" t="s">
        <v>53</v>
      </c>
      <c r="F34" s="1">
        <v>46238</v>
      </c>
      <c r="G34" t="s">
        <v>76</v>
      </c>
      <c r="H34" t="s">
        <v>463</v>
      </c>
      <c r="I34" s="1">
        <v>46171</v>
      </c>
      <c r="J34" t="s">
        <v>142</v>
      </c>
      <c r="K34" t="s">
        <v>141</v>
      </c>
      <c r="L34" t="s">
        <v>51</v>
      </c>
      <c r="M34" t="s">
        <v>14</v>
      </c>
      <c r="N34" t="s">
        <v>239</v>
      </c>
      <c r="O34" t="s">
        <v>239</v>
      </c>
      <c r="P34" t="s">
        <v>56</v>
      </c>
      <c r="Q34" t="s">
        <v>443</v>
      </c>
      <c r="R34" s="2">
        <v>10240</v>
      </c>
      <c r="S34">
        <v>129.1</v>
      </c>
      <c r="T34" s="2">
        <v>1321984</v>
      </c>
      <c r="U34">
        <v>0</v>
      </c>
      <c r="V34">
        <v>0</v>
      </c>
      <c r="W34" s="2">
        <v>238182.12</v>
      </c>
      <c r="X34" s="2">
        <v>1250</v>
      </c>
      <c r="Y34">
        <v>225</v>
      </c>
      <c r="Z34" s="2">
        <v>1561416.12</v>
      </c>
      <c r="AA34">
        <v>0</v>
      </c>
      <c r="AB34">
        <v>0</v>
      </c>
      <c r="AC34" s="2">
        <v>1561416.12</v>
      </c>
      <c r="AD34" t="s">
        <v>57</v>
      </c>
    </row>
    <row r="35" spans="1:30" x14ac:dyDescent="0.35">
      <c r="A35">
        <v>33</v>
      </c>
      <c r="B35">
        <v>281601</v>
      </c>
      <c r="C35">
        <v>328012980</v>
      </c>
      <c r="D35" t="s">
        <v>240</v>
      </c>
      <c r="E35" t="s">
        <v>53</v>
      </c>
      <c r="F35" s="1">
        <v>46238</v>
      </c>
      <c r="G35" t="s">
        <v>145</v>
      </c>
      <c r="H35" t="s">
        <v>464</v>
      </c>
      <c r="I35" s="1">
        <v>46238</v>
      </c>
      <c r="J35" t="s">
        <v>142</v>
      </c>
      <c r="K35" t="s">
        <v>141</v>
      </c>
      <c r="L35" t="s">
        <v>80</v>
      </c>
      <c r="M35" t="s">
        <v>14</v>
      </c>
      <c r="N35" t="s">
        <v>150</v>
      </c>
      <c r="O35" t="s">
        <v>241</v>
      </c>
      <c r="P35" t="s">
        <v>59</v>
      </c>
      <c r="Q35" t="s">
        <v>465</v>
      </c>
      <c r="R35" s="2">
        <v>1000</v>
      </c>
      <c r="S35">
        <v>10</v>
      </c>
      <c r="T35" s="2">
        <v>10000</v>
      </c>
      <c r="U35">
        <v>0</v>
      </c>
      <c r="V35">
        <v>0</v>
      </c>
      <c r="W35" s="2">
        <v>1837.8</v>
      </c>
      <c r="X35">
        <v>210</v>
      </c>
      <c r="Y35">
        <v>37.799999999999997</v>
      </c>
      <c r="Z35" s="2">
        <v>12047.8</v>
      </c>
      <c r="AA35">
        <v>0</v>
      </c>
      <c r="AB35">
        <v>0</v>
      </c>
      <c r="AC35" s="2">
        <v>12047.8</v>
      </c>
      <c r="AD35" t="s">
        <v>57</v>
      </c>
    </row>
    <row r="36" spans="1:30" x14ac:dyDescent="0.35">
      <c r="A36">
        <v>34</v>
      </c>
      <c r="B36">
        <v>281610</v>
      </c>
      <c r="C36">
        <v>328012988</v>
      </c>
      <c r="D36" t="s">
        <v>242</v>
      </c>
      <c r="E36" t="s">
        <v>53</v>
      </c>
      <c r="F36" s="1">
        <v>46238</v>
      </c>
      <c r="G36" t="s">
        <v>89</v>
      </c>
      <c r="H36">
        <v>4501072899</v>
      </c>
      <c r="I36" s="1">
        <v>46134</v>
      </c>
      <c r="J36" t="s">
        <v>142</v>
      </c>
      <c r="K36" t="s">
        <v>141</v>
      </c>
      <c r="L36" t="s">
        <v>18</v>
      </c>
      <c r="M36" t="s">
        <v>21</v>
      </c>
      <c r="N36" t="s">
        <v>85</v>
      </c>
      <c r="O36" t="s">
        <v>243</v>
      </c>
      <c r="P36" t="s">
        <v>54</v>
      </c>
      <c r="Q36" t="s">
        <v>447</v>
      </c>
      <c r="R36" s="2">
        <v>60000</v>
      </c>
      <c r="S36">
        <v>1.77</v>
      </c>
      <c r="T36" s="2">
        <v>106200</v>
      </c>
      <c r="U36">
        <v>0</v>
      </c>
      <c r="V36">
        <v>0</v>
      </c>
      <c r="W36" s="2">
        <v>19116</v>
      </c>
      <c r="X36">
        <v>0</v>
      </c>
      <c r="Y36">
        <v>0</v>
      </c>
      <c r="Z36" s="2">
        <v>125316</v>
      </c>
      <c r="AA36">
        <v>0</v>
      </c>
      <c r="AB36">
        <v>0</v>
      </c>
      <c r="AC36" s="2">
        <v>125316</v>
      </c>
      <c r="AD36" t="s">
        <v>55</v>
      </c>
    </row>
    <row r="37" spans="1:30" x14ac:dyDescent="0.35">
      <c r="A37">
        <v>35</v>
      </c>
      <c r="B37">
        <v>281614</v>
      </c>
      <c r="C37">
        <v>328012991</v>
      </c>
      <c r="D37" t="s">
        <v>244</v>
      </c>
      <c r="E37" t="s">
        <v>53</v>
      </c>
      <c r="F37" s="1">
        <v>46238</v>
      </c>
      <c r="G37" t="s">
        <v>87</v>
      </c>
      <c r="H37">
        <v>5500008044</v>
      </c>
      <c r="I37" s="1">
        <v>46101</v>
      </c>
      <c r="J37" t="s">
        <v>142</v>
      </c>
      <c r="K37" t="s">
        <v>141</v>
      </c>
      <c r="L37" t="s">
        <v>13</v>
      </c>
      <c r="M37" t="s">
        <v>24</v>
      </c>
      <c r="N37" t="s">
        <v>88</v>
      </c>
      <c r="O37">
        <v>13000099</v>
      </c>
      <c r="P37" t="s">
        <v>62</v>
      </c>
      <c r="Q37" t="s">
        <v>447</v>
      </c>
      <c r="R37" s="2">
        <v>37500</v>
      </c>
      <c r="S37">
        <v>4.8730000000000002</v>
      </c>
      <c r="T37" s="2">
        <v>182737.5</v>
      </c>
      <c r="U37">
        <v>0</v>
      </c>
      <c r="V37">
        <v>0</v>
      </c>
      <c r="W37" s="2">
        <v>32892.75</v>
      </c>
      <c r="X37">
        <v>0</v>
      </c>
      <c r="Y37">
        <v>0</v>
      </c>
      <c r="Z37" s="2">
        <v>215630.25</v>
      </c>
      <c r="AA37">
        <v>0</v>
      </c>
      <c r="AB37">
        <v>0</v>
      </c>
      <c r="AC37" s="2">
        <v>215630.25</v>
      </c>
      <c r="AD37" t="s">
        <v>55</v>
      </c>
    </row>
    <row r="38" spans="1:30" x14ac:dyDescent="0.35">
      <c r="A38">
        <v>36</v>
      </c>
      <c r="B38">
        <v>281615</v>
      </c>
      <c r="C38">
        <v>328012992</v>
      </c>
      <c r="D38" t="s">
        <v>245</v>
      </c>
      <c r="E38" t="s">
        <v>53</v>
      </c>
      <c r="F38" s="1">
        <v>46238</v>
      </c>
      <c r="G38" t="s">
        <v>99</v>
      </c>
      <c r="H38" t="s">
        <v>466</v>
      </c>
      <c r="I38" s="1">
        <v>46198</v>
      </c>
      <c r="J38" t="s">
        <v>142</v>
      </c>
      <c r="K38" t="s">
        <v>143</v>
      </c>
      <c r="L38" t="s">
        <v>12</v>
      </c>
      <c r="M38" t="s">
        <v>21</v>
      </c>
      <c r="N38" t="s">
        <v>246</v>
      </c>
      <c r="O38" t="s">
        <v>247</v>
      </c>
      <c r="P38" t="s">
        <v>54</v>
      </c>
      <c r="Q38" t="s">
        <v>447</v>
      </c>
      <c r="R38" s="2">
        <v>6000</v>
      </c>
      <c r="S38">
        <v>3.66</v>
      </c>
      <c r="T38" s="2">
        <v>21960</v>
      </c>
      <c r="U38">
        <v>0</v>
      </c>
      <c r="V38">
        <v>0</v>
      </c>
      <c r="W38" s="2">
        <v>3952.8</v>
      </c>
      <c r="X38">
        <v>0</v>
      </c>
      <c r="Y38">
        <v>0</v>
      </c>
      <c r="Z38" s="2">
        <v>25912.799999999999</v>
      </c>
      <c r="AA38">
        <v>0</v>
      </c>
      <c r="AB38">
        <v>0</v>
      </c>
      <c r="AC38" s="2">
        <v>25912.799999999999</v>
      </c>
      <c r="AD38" t="s">
        <v>55</v>
      </c>
    </row>
    <row r="39" spans="1:30" x14ac:dyDescent="0.35">
      <c r="A39">
        <v>37</v>
      </c>
      <c r="B39">
        <v>281649</v>
      </c>
      <c r="C39">
        <v>328013009</v>
      </c>
      <c r="D39" t="s">
        <v>248</v>
      </c>
      <c r="E39" t="s">
        <v>53</v>
      </c>
      <c r="F39" s="1">
        <v>46239</v>
      </c>
      <c r="G39" t="s">
        <v>63</v>
      </c>
      <c r="H39" t="s">
        <v>467</v>
      </c>
      <c r="I39" s="1">
        <v>46205</v>
      </c>
      <c r="J39" t="s">
        <v>142</v>
      </c>
      <c r="K39" t="s">
        <v>141</v>
      </c>
      <c r="L39" t="s">
        <v>15</v>
      </c>
      <c r="M39" t="s">
        <v>25</v>
      </c>
      <c r="N39" t="s">
        <v>150</v>
      </c>
      <c r="O39" t="s">
        <v>150</v>
      </c>
      <c r="P39" t="s">
        <v>59</v>
      </c>
      <c r="Q39" t="s">
        <v>465</v>
      </c>
      <c r="R39" s="2">
        <v>10000</v>
      </c>
      <c r="S39">
        <v>10</v>
      </c>
      <c r="T39" s="2">
        <v>100000</v>
      </c>
      <c r="U39">
        <v>0</v>
      </c>
      <c r="V39">
        <v>0</v>
      </c>
      <c r="W39" s="2">
        <v>18000</v>
      </c>
      <c r="X39">
        <v>0</v>
      </c>
      <c r="Y39">
        <v>0</v>
      </c>
      <c r="Z39" s="2">
        <v>118000</v>
      </c>
      <c r="AA39">
        <v>0</v>
      </c>
      <c r="AB39">
        <v>0</v>
      </c>
      <c r="AC39" s="2">
        <v>118000</v>
      </c>
      <c r="AD39" t="s">
        <v>57</v>
      </c>
    </row>
    <row r="40" spans="1:30" x14ac:dyDescent="0.35">
      <c r="A40">
        <v>38</v>
      </c>
      <c r="B40">
        <v>281654</v>
      </c>
      <c r="C40">
        <v>328013014</v>
      </c>
      <c r="D40" t="s">
        <v>249</v>
      </c>
      <c r="E40" t="s">
        <v>53</v>
      </c>
      <c r="F40" s="1">
        <v>46239</v>
      </c>
      <c r="G40" t="s">
        <v>94</v>
      </c>
      <c r="H40" t="s">
        <v>468</v>
      </c>
      <c r="I40" s="1">
        <v>46188</v>
      </c>
      <c r="J40" t="s">
        <v>142</v>
      </c>
      <c r="K40" t="s">
        <v>469</v>
      </c>
      <c r="L40" t="s">
        <v>13</v>
      </c>
      <c r="M40" t="s">
        <v>23</v>
      </c>
      <c r="N40" t="s">
        <v>250</v>
      </c>
      <c r="O40" t="s">
        <v>251</v>
      </c>
      <c r="P40" t="s">
        <v>252</v>
      </c>
      <c r="Q40" t="s">
        <v>470</v>
      </c>
      <c r="R40" s="2">
        <v>5000</v>
      </c>
      <c r="S40">
        <v>2.25</v>
      </c>
      <c r="T40" s="2">
        <v>11250</v>
      </c>
      <c r="U40">
        <v>0</v>
      </c>
      <c r="V40">
        <v>0</v>
      </c>
      <c r="W40" s="2">
        <v>2025</v>
      </c>
      <c r="X40">
        <v>0</v>
      </c>
      <c r="Y40">
        <v>0</v>
      </c>
      <c r="Z40" s="2">
        <v>13275</v>
      </c>
      <c r="AA40">
        <v>0</v>
      </c>
      <c r="AB40">
        <v>0</v>
      </c>
      <c r="AC40" s="2">
        <v>13275</v>
      </c>
      <c r="AD40" t="s">
        <v>55</v>
      </c>
    </row>
    <row r="41" spans="1:30" x14ac:dyDescent="0.35">
      <c r="A41">
        <v>39</v>
      </c>
      <c r="B41">
        <v>281665</v>
      </c>
      <c r="C41">
        <v>328013024</v>
      </c>
      <c r="D41" t="s">
        <v>253</v>
      </c>
      <c r="E41" t="s">
        <v>53</v>
      </c>
      <c r="F41" s="1">
        <v>46239</v>
      </c>
      <c r="G41" t="s">
        <v>254</v>
      </c>
      <c r="H41">
        <v>510056639</v>
      </c>
      <c r="I41" s="1">
        <v>46135</v>
      </c>
      <c r="J41" t="s">
        <v>142</v>
      </c>
      <c r="K41" t="s">
        <v>141</v>
      </c>
      <c r="L41" t="s">
        <v>80</v>
      </c>
      <c r="M41" t="s">
        <v>24</v>
      </c>
      <c r="N41" t="s">
        <v>255</v>
      </c>
      <c r="O41">
        <v>39908769</v>
      </c>
      <c r="P41" t="s">
        <v>56</v>
      </c>
      <c r="Q41" t="s">
        <v>443</v>
      </c>
      <c r="R41" s="2">
        <v>1904</v>
      </c>
      <c r="S41">
        <v>183</v>
      </c>
      <c r="T41" s="2">
        <v>348432</v>
      </c>
      <c r="U41">
        <v>0</v>
      </c>
      <c r="V41">
        <v>0</v>
      </c>
      <c r="W41" s="2">
        <v>62717.760000000002</v>
      </c>
      <c r="X41">
        <v>0</v>
      </c>
      <c r="Y41">
        <v>0</v>
      </c>
      <c r="Z41" s="2">
        <v>411149.76</v>
      </c>
      <c r="AA41">
        <v>0</v>
      </c>
      <c r="AB41">
        <v>0</v>
      </c>
      <c r="AC41" s="2">
        <v>411149.76</v>
      </c>
      <c r="AD41" t="s">
        <v>57</v>
      </c>
    </row>
    <row r="42" spans="1:30" x14ac:dyDescent="0.35">
      <c r="A42">
        <v>40</v>
      </c>
      <c r="B42">
        <v>281666</v>
      </c>
      <c r="C42">
        <v>328013025</v>
      </c>
      <c r="D42" t="s">
        <v>256</v>
      </c>
      <c r="E42" t="s">
        <v>53</v>
      </c>
      <c r="F42" s="1">
        <v>46239</v>
      </c>
      <c r="G42" t="s">
        <v>90</v>
      </c>
      <c r="H42" t="s">
        <v>471</v>
      </c>
      <c r="I42" s="1">
        <v>46237</v>
      </c>
      <c r="J42" t="s">
        <v>142</v>
      </c>
      <c r="K42" t="s">
        <v>143</v>
      </c>
      <c r="L42" t="s">
        <v>12</v>
      </c>
      <c r="M42" t="s">
        <v>21</v>
      </c>
      <c r="N42" t="s">
        <v>122</v>
      </c>
      <c r="P42" t="s">
        <v>56</v>
      </c>
      <c r="Q42" t="s">
        <v>443</v>
      </c>
      <c r="R42">
        <v>630</v>
      </c>
      <c r="S42">
        <v>51.94</v>
      </c>
      <c r="T42" s="2">
        <v>32722.2</v>
      </c>
      <c r="U42">
        <v>0</v>
      </c>
      <c r="V42">
        <v>0</v>
      </c>
      <c r="W42" s="2">
        <v>5889.9960000000001</v>
      </c>
      <c r="X42">
        <v>0</v>
      </c>
      <c r="Y42">
        <v>0</v>
      </c>
      <c r="Z42" s="2">
        <v>38612.196000000004</v>
      </c>
      <c r="AA42">
        <v>0</v>
      </c>
      <c r="AB42">
        <v>0</v>
      </c>
      <c r="AC42" s="2">
        <v>38612.196000000004</v>
      </c>
      <c r="AD42" t="s">
        <v>57</v>
      </c>
    </row>
    <row r="43" spans="1:30" x14ac:dyDescent="0.35">
      <c r="A43">
        <v>41</v>
      </c>
      <c r="B43">
        <v>281668</v>
      </c>
      <c r="C43">
        <v>328013027</v>
      </c>
      <c r="D43" t="s">
        <v>257</v>
      </c>
      <c r="E43" t="s">
        <v>53</v>
      </c>
      <c r="F43" s="1">
        <v>46239</v>
      </c>
      <c r="G43" t="s">
        <v>16</v>
      </c>
      <c r="H43">
        <v>1420035372</v>
      </c>
      <c r="I43" s="1">
        <v>46190</v>
      </c>
      <c r="J43" t="s">
        <v>142</v>
      </c>
      <c r="K43" t="s">
        <v>469</v>
      </c>
      <c r="L43" t="s">
        <v>13</v>
      </c>
      <c r="M43" t="s">
        <v>22</v>
      </c>
      <c r="N43" t="s">
        <v>86</v>
      </c>
      <c r="O43" t="s">
        <v>153</v>
      </c>
      <c r="P43" t="s">
        <v>54</v>
      </c>
      <c r="Q43" t="s">
        <v>447</v>
      </c>
      <c r="R43" s="2">
        <v>165000</v>
      </c>
      <c r="S43">
        <v>0.92</v>
      </c>
      <c r="T43" s="2">
        <v>151800</v>
      </c>
      <c r="U43">
        <v>0</v>
      </c>
      <c r="V43">
        <v>0</v>
      </c>
      <c r="W43" s="2">
        <v>27324</v>
      </c>
      <c r="X43">
        <v>0</v>
      </c>
      <c r="Y43">
        <v>0</v>
      </c>
      <c r="Z43" s="2">
        <v>179124</v>
      </c>
      <c r="AA43">
        <v>0</v>
      </c>
      <c r="AB43">
        <v>0</v>
      </c>
      <c r="AC43" s="2">
        <v>179124</v>
      </c>
      <c r="AD43" t="s">
        <v>55</v>
      </c>
    </row>
    <row r="44" spans="1:30" x14ac:dyDescent="0.35">
      <c r="A44">
        <v>42</v>
      </c>
      <c r="B44">
        <v>281682</v>
      </c>
      <c r="C44">
        <v>328013039</v>
      </c>
      <c r="D44" t="s">
        <v>258</v>
      </c>
      <c r="E44" t="s">
        <v>53</v>
      </c>
      <c r="F44" s="1">
        <v>46239</v>
      </c>
      <c r="G44" t="s">
        <v>119</v>
      </c>
      <c r="H44" t="s">
        <v>472</v>
      </c>
      <c r="I44" s="1">
        <v>46149</v>
      </c>
      <c r="J44" t="s">
        <v>142</v>
      </c>
      <c r="K44" t="s">
        <v>469</v>
      </c>
      <c r="L44" t="s">
        <v>13</v>
      </c>
      <c r="M44" t="s">
        <v>14</v>
      </c>
      <c r="N44" t="s">
        <v>138</v>
      </c>
      <c r="O44" t="s">
        <v>138</v>
      </c>
      <c r="P44" t="s">
        <v>83</v>
      </c>
      <c r="Q44" t="s">
        <v>473</v>
      </c>
      <c r="R44" s="2">
        <v>5000</v>
      </c>
      <c r="S44">
        <v>19.57</v>
      </c>
      <c r="T44" s="2">
        <v>97850</v>
      </c>
      <c r="U44">
        <v>0</v>
      </c>
      <c r="V44">
        <v>0</v>
      </c>
      <c r="W44" s="2">
        <v>17686.8</v>
      </c>
      <c r="X44">
        <v>410</v>
      </c>
      <c r="Y44">
        <v>73.8</v>
      </c>
      <c r="Z44" s="2">
        <v>115946.8</v>
      </c>
      <c r="AA44">
        <v>0</v>
      </c>
      <c r="AB44">
        <v>0</v>
      </c>
      <c r="AC44" s="2">
        <v>115946.8</v>
      </c>
      <c r="AD44" t="s">
        <v>57</v>
      </c>
    </row>
    <row r="45" spans="1:30" x14ac:dyDescent="0.35">
      <c r="A45">
        <v>43</v>
      </c>
      <c r="B45">
        <v>281763</v>
      </c>
      <c r="C45">
        <v>328013110</v>
      </c>
      <c r="D45" t="s">
        <v>474</v>
      </c>
      <c r="E45" t="s">
        <v>53</v>
      </c>
      <c r="F45" s="1">
        <v>46240</v>
      </c>
      <c r="G45" t="s">
        <v>438</v>
      </c>
      <c r="H45" t="s">
        <v>475</v>
      </c>
      <c r="I45" s="1">
        <v>46112</v>
      </c>
      <c r="J45" t="s">
        <v>142</v>
      </c>
      <c r="K45" t="s">
        <v>141</v>
      </c>
      <c r="L45" t="s">
        <v>80</v>
      </c>
      <c r="M45" t="s">
        <v>17</v>
      </c>
      <c r="N45" t="s">
        <v>476</v>
      </c>
      <c r="O45" t="s">
        <v>477</v>
      </c>
      <c r="P45" t="s">
        <v>59</v>
      </c>
      <c r="Q45" t="s">
        <v>465</v>
      </c>
      <c r="R45" s="2">
        <v>14400</v>
      </c>
      <c r="S45">
        <v>11.61</v>
      </c>
      <c r="T45" s="2">
        <v>167184</v>
      </c>
      <c r="U45">
        <v>0</v>
      </c>
      <c r="V45">
        <v>0</v>
      </c>
      <c r="W45" s="2">
        <v>30093.119999999999</v>
      </c>
      <c r="X45">
        <v>0</v>
      </c>
      <c r="Y45">
        <v>0</v>
      </c>
      <c r="Z45" s="2">
        <v>197277.12</v>
      </c>
      <c r="AA45">
        <v>0</v>
      </c>
      <c r="AB45">
        <v>0</v>
      </c>
      <c r="AC45" s="2">
        <v>197277.12</v>
      </c>
      <c r="AD45" t="s">
        <v>57</v>
      </c>
    </row>
    <row r="46" spans="1:30" x14ac:dyDescent="0.35">
      <c r="A46">
        <v>44</v>
      </c>
      <c r="B46">
        <v>281835</v>
      </c>
      <c r="C46">
        <v>328013175</v>
      </c>
      <c r="D46" t="s">
        <v>478</v>
      </c>
      <c r="E46" t="s">
        <v>53</v>
      </c>
      <c r="F46" s="1">
        <v>46240</v>
      </c>
      <c r="G46" t="s">
        <v>479</v>
      </c>
      <c r="H46" t="s">
        <v>480</v>
      </c>
      <c r="I46" s="1">
        <v>45899</v>
      </c>
      <c r="J46" t="s">
        <v>142</v>
      </c>
      <c r="K46" t="s">
        <v>141</v>
      </c>
      <c r="L46" t="s">
        <v>13</v>
      </c>
      <c r="M46" t="s">
        <v>23</v>
      </c>
      <c r="N46" t="s">
        <v>481</v>
      </c>
      <c r="O46" t="s">
        <v>481</v>
      </c>
      <c r="P46" t="s">
        <v>402</v>
      </c>
      <c r="Q46" t="s">
        <v>462</v>
      </c>
      <c r="R46" s="2">
        <v>6000</v>
      </c>
      <c r="S46">
        <v>3.46</v>
      </c>
      <c r="T46" s="2">
        <v>20760</v>
      </c>
      <c r="U46">
        <v>0</v>
      </c>
      <c r="V46">
        <v>0</v>
      </c>
      <c r="W46" s="2">
        <v>3736.8</v>
      </c>
      <c r="X46">
        <v>0</v>
      </c>
      <c r="Y46">
        <v>0</v>
      </c>
      <c r="Z46" s="2">
        <v>24496.799999999999</v>
      </c>
      <c r="AA46">
        <v>0</v>
      </c>
      <c r="AB46">
        <v>0</v>
      </c>
      <c r="AC46" s="2">
        <v>24496.799999999999</v>
      </c>
      <c r="AD46" t="s">
        <v>55</v>
      </c>
    </row>
    <row r="47" spans="1:30" x14ac:dyDescent="0.35">
      <c r="A47">
        <v>45</v>
      </c>
      <c r="B47">
        <v>281838</v>
      </c>
      <c r="C47">
        <v>328013178</v>
      </c>
      <c r="D47" t="s">
        <v>482</v>
      </c>
      <c r="E47" t="s">
        <v>53</v>
      </c>
      <c r="F47" s="1">
        <v>46240</v>
      </c>
      <c r="G47" t="s">
        <v>479</v>
      </c>
      <c r="H47" t="s">
        <v>483</v>
      </c>
      <c r="I47" s="1">
        <v>46192</v>
      </c>
      <c r="J47" t="s">
        <v>142</v>
      </c>
      <c r="K47" t="s">
        <v>141</v>
      </c>
      <c r="L47" t="s">
        <v>13</v>
      </c>
      <c r="M47" t="s">
        <v>23</v>
      </c>
      <c r="N47" t="s">
        <v>484</v>
      </c>
      <c r="O47" t="s">
        <v>484</v>
      </c>
      <c r="P47" t="s">
        <v>59</v>
      </c>
      <c r="Q47" t="s">
        <v>465</v>
      </c>
      <c r="R47" s="2">
        <v>2400</v>
      </c>
      <c r="S47">
        <v>10.49</v>
      </c>
      <c r="T47" s="2">
        <v>25176</v>
      </c>
      <c r="U47">
        <v>0</v>
      </c>
      <c r="V47">
        <v>0</v>
      </c>
      <c r="W47" s="2">
        <v>4531.68</v>
      </c>
      <c r="X47">
        <v>0</v>
      </c>
      <c r="Y47">
        <v>0</v>
      </c>
      <c r="Z47" s="2">
        <v>29707.68</v>
      </c>
      <c r="AA47">
        <v>0</v>
      </c>
      <c r="AB47">
        <v>0</v>
      </c>
      <c r="AC47" s="2">
        <v>29707.68</v>
      </c>
      <c r="AD47" t="s">
        <v>57</v>
      </c>
    </row>
    <row r="48" spans="1:30" x14ac:dyDescent="0.35">
      <c r="A48">
        <v>46</v>
      </c>
      <c r="B48">
        <v>281838</v>
      </c>
      <c r="C48">
        <v>328013178</v>
      </c>
      <c r="D48" t="s">
        <v>482</v>
      </c>
      <c r="E48" t="s">
        <v>53</v>
      </c>
      <c r="F48" s="1">
        <v>46240</v>
      </c>
      <c r="G48" t="s">
        <v>479</v>
      </c>
      <c r="H48" t="s">
        <v>483</v>
      </c>
      <c r="I48" s="1">
        <v>46192</v>
      </c>
      <c r="J48" t="s">
        <v>142</v>
      </c>
      <c r="K48" t="s">
        <v>141</v>
      </c>
      <c r="L48" t="s">
        <v>13</v>
      </c>
      <c r="M48" t="s">
        <v>23</v>
      </c>
      <c r="N48" t="s">
        <v>485</v>
      </c>
      <c r="O48" t="s">
        <v>485</v>
      </c>
      <c r="P48" t="s">
        <v>54</v>
      </c>
      <c r="Q48" t="s">
        <v>447</v>
      </c>
      <c r="R48" s="2">
        <v>12000</v>
      </c>
      <c r="S48">
        <v>0.62</v>
      </c>
      <c r="T48" s="2">
        <v>7440</v>
      </c>
      <c r="U48">
        <v>0</v>
      </c>
      <c r="V48">
        <v>0</v>
      </c>
      <c r="W48" s="2">
        <v>1339.2</v>
      </c>
      <c r="X48">
        <v>0</v>
      </c>
      <c r="Y48">
        <v>0</v>
      </c>
      <c r="Z48" s="2">
        <v>8779.2000000000007</v>
      </c>
      <c r="AA48">
        <v>0</v>
      </c>
      <c r="AB48">
        <v>0</v>
      </c>
      <c r="AC48" s="2">
        <v>8779.2000000000007</v>
      </c>
      <c r="AD48" t="s">
        <v>55</v>
      </c>
    </row>
    <row r="49" spans="1:30" x14ac:dyDescent="0.35">
      <c r="A49">
        <v>47</v>
      </c>
      <c r="B49">
        <v>281838</v>
      </c>
      <c r="C49">
        <v>328013178</v>
      </c>
      <c r="D49" t="s">
        <v>482</v>
      </c>
      <c r="E49" t="s">
        <v>53</v>
      </c>
      <c r="F49" s="1">
        <v>46240</v>
      </c>
      <c r="G49" t="s">
        <v>479</v>
      </c>
      <c r="H49" t="s">
        <v>483</v>
      </c>
      <c r="I49" s="1">
        <v>46192</v>
      </c>
      <c r="J49" t="s">
        <v>142</v>
      </c>
      <c r="K49" t="s">
        <v>141</v>
      </c>
      <c r="L49" t="s">
        <v>13</v>
      </c>
      <c r="M49" t="s">
        <v>23</v>
      </c>
      <c r="N49" t="s">
        <v>486</v>
      </c>
      <c r="O49" t="s">
        <v>486</v>
      </c>
      <c r="P49" t="s">
        <v>54</v>
      </c>
      <c r="Q49" t="s">
        <v>447</v>
      </c>
      <c r="R49" s="2">
        <v>6000</v>
      </c>
      <c r="S49">
        <v>1.55</v>
      </c>
      <c r="T49" s="2">
        <v>9300</v>
      </c>
      <c r="U49">
        <v>0</v>
      </c>
      <c r="V49">
        <v>0</v>
      </c>
      <c r="W49" s="2">
        <v>1674</v>
      </c>
      <c r="X49">
        <v>0</v>
      </c>
      <c r="Y49">
        <v>0</v>
      </c>
      <c r="Z49" s="2">
        <v>10974</v>
      </c>
      <c r="AA49">
        <v>0</v>
      </c>
      <c r="AB49">
        <v>0</v>
      </c>
      <c r="AC49" s="2">
        <v>10974</v>
      </c>
      <c r="AD49" t="s">
        <v>55</v>
      </c>
    </row>
    <row r="50" spans="1:30" x14ac:dyDescent="0.35">
      <c r="A50">
        <v>48</v>
      </c>
      <c r="B50">
        <v>281838</v>
      </c>
      <c r="C50">
        <v>328013178</v>
      </c>
      <c r="D50" t="s">
        <v>482</v>
      </c>
      <c r="E50" t="s">
        <v>53</v>
      </c>
      <c r="F50" s="1">
        <v>46240</v>
      </c>
      <c r="G50" t="s">
        <v>479</v>
      </c>
      <c r="H50" t="s">
        <v>483</v>
      </c>
      <c r="I50" s="1">
        <v>46192</v>
      </c>
      <c r="J50" t="s">
        <v>142</v>
      </c>
      <c r="K50" t="s">
        <v>141</v>
      </c>
      <c r="L50" t="s">
        <v>13</v>
      </c>
      <c r="M50" t="s">
        <v>23</v>
      </c>
      <c r="N50" t="s">
        <v>487</v>
      </c>
      <c r="O50" t="s">
        <v>487</v>
      </c>
      <c r="P50" t="s">
        <v>54</v>
      </c>
      <c r="Q50" t="s">
        <v>447</v>
      </c>
      <c r="R50" s="2">
        <v>30000</v>
      </c>
      <c r="S50">
        <v>0.82</v>
      </c>
      <c r="T50" s="2">
        <v>24600</v>
      </c>
      <c r="U50">
        <v>0</v>
      </c>
      <c r="V50">
        <v>0</v>
      </c>
      <c r="W50" s="2">
        <v>4428</v>
      </c>
      <c r="X50">
        <v>0</v>
      </c>
      <c r="Y50">
        <v>0</v>
      </c>
      <c r="Z50" s="2">
        <v>29028</v>
      </c>
      <c r="AA50">
        <v>0</v>
      </c>
      <c r="AB50">
        <v>0</v>
      </c>
      <c r="AC50" s="2">
        <v>29028</v>
      </c>
      <c r="AD50" t="s">
        <v>55</v>
      </c>
    </row>
    <row r="51" spans="1:30" x14ac:dyDescent="0.35">
      <c r="A51">
        <v>49</v>
      </c>
      <c r="B51">
        <v>281838</v>
      </c>
      <c r="C51">
        <v>328013178</v>
      </c>
      <c r="D51" t="s">
        <v>482</v>
      </c>
      <c r="E51" t="s">
        <v>53</v>
      </c>
      <c r="F51" s="1">
        <v>46240</v>
      </c>
      <c r="G51" t="s">
        <v>479</v>
      </c>
      <c r="H51" t="s">
        <v>483</v>
      </c>
      <c r="I51" s="1">
        <v>46192</v>
      </c>
      <c r="J51" t="s">
        <v>142</v>
      </c>
      <c r="K51" t="s">
        <v>141</v>
      </c>
      <c r="L51" t="s">
        <v>13</v>
      </c>
      <c r="M51" t="s">
        <v>23</v>
      </c>
      <c r="N51" t="s">
        <v>488</v>
      </c>
      <c r="O51" t="s">
        <v>488</v>
      </c>
      <c r="P51" t="s">
        <v>54</v>
      </c>
      <c r="Q51" t="s">
        <v>451</v>
      </c>
      <c r="R51" s="2">
        <v>12000</v>
      </c>
      <c r="S51">
        <v>0.6</v>
      </c>
      <c r="T51" s="2">
        <v>7200</v>
      </c>
      <c r="U51">
        <v>0</v>
      </c>
      <c r="V51">
        <v>0</v>
      </c>
      <c r="W51" s="2">
        <v>1296</v>
      </c>
      <c r="X51">
        <v>0</v>
      </c>
      <c r="Y51">
        <v>0</v>
      </c>
      <c r="Z51" s="2">
        <v>8496</v>
      </c>
      <c r="AA51">
        <v>0</v>
      </c>
      <c r="AB51">
        <v>0</v>
      </c>
      <c r="AC51" s="2">
        <v>8496</v>
      </c>
      <c r="AD51" t="s">
        <v>55</v>
      </c>
    </row>
    <row r="52" spans="1:30" x14ac:dyDescent="0.35">
      <c r="A52">
        <v>50</v>
      </c>
      <c r="B52">
        <v>281838</v>
      </c>
      <c r="C52">
        <v>328013178</v>
      </c>
      <c r="D52" t="s">
        <v>482</v>
      </c>
      <c r="E52" t="s">
        <v>53</v>
      </c>
      <c r="F52" s="1">
        <v>46240</v>
      </c>
      <c r="G52" t="s">
        <v>479</v>
      </c>
      <c r="H52" t="s">
        <v>483</v>
      </c>
      <c r="I52" s="1">
        <v>46192</v>
      </c>
      <c r="J52" t="s">
        <v>142</v>
      </c>
      <c r="K52" t="s">
        <v>141</v>
      </c>
      <c r="L52" t="s">
        <v>13</v>
      </c>
      <c r="M52" t="s">
        <v>23</v>
      </c>
      <c r="N52" t="s">
        <v>489</v>
      </c>
      <c r="O52" t="s">
        <v>489</v>
      </c>
      <c r="P52" t="s">
        <v>54</v>
      </c>
      <c r="Q52" t="s">
        <v>447</v>
      </c>
      <c r="R52" s="2">
        <v>7500</v>
      </c>
      <c r="S52">
        <v>2.74</v>
      </c>
      <c r="T52" s="2">
        <v>20550</v>
      </c>
      <c r="U52">
        <v>0</v>
      </c>
      <c r="V52">
        <v>0</v>
      </c>
      <c r="W52" s="2">
        <v>3699</v>
      </c>
      <c r="X52">
        <v>0</v>
      </c>
      <c r="Y52">
        <v>0</v>
      </c>
      <c r="Z52" s="2">
        <v>24249</v>
      </c>
      <c r="AA52">
        <v>0</v>
      </c>
      <c r="AB52">
        <v>0</v>
      </c>
      <c r="AC52" s="2">
        <v>24249</v>
      </c>
      <c r="AD52" t="s">
        <v>55</v>
      </c>
    </row>
    <row r="53" spans="1:30" x14ac:dyDescent="0.35">
      <c r="A53">
        <v>51</v>
      </c>
      <c r="B53">
        <v>281841</v>
      </c>
      <c r="C53">
        <v>328013181</v>
      </c>
      <c r="D53" t="s">
        <v>490</v>
      </c>
      <c r="E53" t="s">
        <v>53</v>
      </c>
      <c r="F53" s="1">
        <v>46240</v>
      </c>
      <c r="G53" t="s">
        <v>479</v>
      </c>
      <c r="H53" t="s">
        <v>491</v>
      </c>
      <c r="I53" s="1">
        <v>45959</v>
      </c>
      <c r="J53" t="s">
        <v>142</v>
      </c>
      <c r="K53" t="s">
        <v>141</v>
      </c>
      <c r="L53" t="s">
        <v>13</v>
      </c>
      <c r="M53" t="s">
        <v>23</v>
      </c>
      <c r="N53" t="s">
        <v>403</v>
      </c>
      <c r="O53" t="s">
        <v>403</v>
      </c>
      <c r="P53" t="s">
        <v>405</v>
      </c>
      <c r="Q53" t="s">
        <v>449</v>
      </c>
      <c r="R53" s="2">
        <v>2376</v>
      </c>
      <c r="S53">
        <v>37.85</v>
      </c>
      <c r="T53" s="2">
        <v>89931.6</v>
      </c>
      <c r="U53">
        <v>0</v>
      </c>
      <c r="V53">
        <v>0</v>
      </c>
      <c r="W53" s="2">
        <v>16464.887999999999</v>
      </c>
      <c r="X53">
        <v>957.61319000000003</v>
      </c>
      <c r="Y53">
        <v>172.37037000000001</v>
      </c>
      <c r="Z53" s="2">
        <v>107249.27155999999</v>
      </c>
      <c r="AA53">
        <v>0</v>
      </c>
      <c r="AB53">
        <v>0</v>
      </c>
      <c r="AC53" s="2">
        <v>107249.27155999999</v>
      </c>
      <c r="AD53" t="s">
        <v>57</v>
      </c>
    </row>
    <row r="54" spans="1:30" x14ac:dyDescent="0.35">
      <c r="A54">
        <v>52</v>
      </c>
      <c r="B54">
        <v>281841</v>
      </c>
      <c r="C54">
        <v>328013181</v>
      </c>
      <c r="D54" t="s">
        <v>490</v>
      </c>
      <c r="E54" t="s">
        <v>53</v>
      </c>
      <c r="F54" s="1">
        <v>46240</v>
      </c>
      <c r="G54" t="s">
        <v>479</v>
      </c>
      <c r="H54" t="s">
        <v>491</v>
      </c>
      <c r="I54" s="1">
        <v>45959</v>
      </c>
      <c r="J54" t="s">
        <v>142</v>
      </c>
      <c r="K54" t="s">
        <v>141</v>
      </c>
      <c r="L54" t="s">
        <v>13</v>
      </c>
      <c r="M54" t="s">
        <v>23</v>
      </c>
      <c r="N54" t="s">
        <v>403</v>
      </c>
      <c r="O54" t="s">
        <v>403</v>
      </c>
      <c r="P54" t="s">
        <v>405</v>
      </c>
      <c r="Q54" t="s">
        <v>449</v>
      </c>
      <c r="R54" s="2">
        <v>1445</v>
      </c>
      <c r="S54">
        <v>37.85</v>
      </c>
      <c r="T54" s="2">
        <v>54693.25</v>
      </c>
      <c r="U54">
        <v>0</v>
      </c>
      <c r="V54">
        <v>0</v>
      </c>
      <c r="W54" s="2">
        <v>9844.7849999999999</v>
      </c>
      <c r="X54">
        <v>582.38680999999997</v>
      </c>
      <c r="Y54">
        <v>104.82962999999999</v>
      </c>
      <c r="Z54" s="2">
        <v>65225.25144</v>
      </c>
      <c r="AA54">
        <v>0</v>
      </c>
      <c r="AB54">
        <v>0</v>
      </c>
      <c r="AC54" s="2">
        <v>65225.25144</v>
      </c>
      <c r="AD54" t="s">
        <v>57</v>
      </c>
    </row>
    <row r="55" spans="1:30" x14ac:dyDescent="0.35">
      <c r="A55">
        <v>53</v>
      </c>
      <c r="B55">
        <v>281852</v>
      </c>
      <c r="C55">
        <v>328013192</v>
      </c>
      <c r="D55" t="s">
        <v>492</v>
      </c>
      <c r="E55" t="s">
        <v>53</v>
      </c>
      <c r="F55" s="1">
        <v>46240</v>
      </c>
      <c r="G55" t="s">
        <v>493</v>
      </c>
      <c r="H55" t="s">
        <v>494</v>
      </c>
      <c r="I55" s="1">
        <v>46100</v>
      </c>
      <c r="J55" t="s">
        <v>142</v>
      </c>
      <c r="K55" t="s">
        <v>446</v>
      </c>
      <c r="L55" t="s">
        <v>12</v>
      </c>
      <c r="M55" t="s">
        <v>21</v>
      </c>
      <c r="N55" t="s">
        <v>485</v>
      </c>
      <c r="O55" t="s">
        <v>495</v>
      </c>
      <c r="P55" t="s">
        <v>54</v>
      </c>
      <c r="Q55" t="s">
        <v>447</v>
      </c>
      <c r="R55" s="2">
        <v>201000</v>
      </c>
      <c r="S55">
        <v>0.57999999999999996</v>
      </c>
      <c r="T55" s="2">
        <v>116580</v>
      </c>
      <c r="U55">
        <v>0</v>
      </c>
      <c r="V55">
        <v>0</v>
      </c>
      <c r="W55" s="2">
        <v>20984.400000000001</v>
      </c>
      <c r="X55">
        <v>0</v>
      </c>
      <c r="Y55">
        <v>0</v>
      </c>
      <c r="Z55" s="2">
        <v>137564.4</v>
      </c>
      <c r="AA55">
        <v>0</v>
      </c>
      <c r="AB55">
        <v>0</v>
      </c>
      <c r="AC55" s="2">
        <v>137564.4</v>
      </c>
      <c r="AD55" t="s">
        <v>55</v>
      </c>
    </row>
    <row r="56" spans="1:30" x14ac:dyDescent="0.35">
      <c r="A56">
        <v>54</v>
      </c>
      <c r="B56">
        <v>281856</v>
      </c>
      <c r="C56">
        <v>328013196</v>
      </c>
      <c r="D56" t="s">
        <v>496</v>
      </c>
      <c r="E56" t="s">
        <v>53</v>
      </c>
      <c r="F56" s="1">
        <v>46240</v>
      </c>
      <c r="G56" t="s">
        <v>493</v>
      </c>
      <c r="H56" t="s">
        <v>497</v>
      </c>
      <c r="I56" s="1">
        <v>46161</v>
      </c>
      <c r="J56" t="s">
        <v>142</v>
      </c>
      <c r="K56" t="s">
        <v>446</v>
      </c>
      <c r="L56" t="s">
        <v>12</v>
      </c>
      <c r="M56" t="s">
        <v>21</v>
      </c>
      <c r="N56" t="s">
        <v>498</v>
      </c>
      <c r="O56" t="s">
        <v>499</v>
      </c>
      <c r="P56" t="s">
        <v>54</v>
      </c>
      <c r="Q56" t="s">
        <v>447</v>
      </c>
      <c r="R56" s="2">
        <v>60000</v>
      </c>
      <c r="S56">
        <v>1.34</v>
      </c>
      <c r="T56" s="2">
        <v>80400</v>
      </c>
      <c r="U56">
        <v>0</v>
      </c>
      <c r="V56">
        <v>0</v>
      </c>
      <c r="W56" s="2">
        <v>14472</v>
      </c>
      <c r="X56">
        <v>0</v>
      </c>
      <c r="Y56">
        <v>0</v>
      </c>
      <c r="Z56" s="2">
        <v>94872</v>
      </c>
      <c r="AA56">
        <v>0</v>
      </c>
      <c r="AB56">
        <v>0</v>
      </c>
      <c r="AC56" s="2">
        <v>94872</v>
      </c>
      <c r="AD56" t="s">
        <v>55</v>
      </c>
    </row>
    <row r="57" spans="1:30" x14ac:dyDescent="0.35">
      <c r="A57">
        <v>55</v>
      </c>
      <c r="B57">
        <v>281870</v>
      </c>
      <c r="C57">
        <v>328013209</v>
      </c>
      <c r="D57" t="s">
        <v>500</v>
      </c>
      <c r="E57" t="s">
        <v>53</v>
      </c>
      <c r="F57" s="1">
        <v>46240</v>
      </c>
      <c r="G57" t="s">
        <v>493</v>
      </c>
      <c r="H57" t="s">
        <v>501</v>
      </c>
      <c r="I57" s="1">
        <v>46129</v>
      </c>
      <c r="J57" t="s">
        <v>142</v>
      </c>
      <c r="K57" t="s">
        <v>446</v>
      </c>
      <c r="L57" t="s">
        <v>12</v>
      </c>
      <c r="M57" t="s">
        <v>21</v>
      </c>
      <c r="N57" t="s">
        <v>488</v>
      </c>
      <c r="O57" t="s">
        <v>502</v>
      </c>
      <c r="P57" t="s">
        <v>54</v>
      </c>
      <c r="Q57" t="s">
        <v>451</v>
      </c>
      <c r="R57" s="2">
        <v>498000</v>
      </c>
      <c r="S57">
        <v>0.54</v>
      </c>
      <c r="T57" s="2">
        <v>268920</v>
      </c>
      <c r="U57">
        <v>0</v>
      </c>
      <c r="V57">
        <v>0</v>
      </c>
      <c r="W57" s="2">
        <v>48405.599999999999</v>
      </c>
      <c r="X57">
        <v>0</v>
      </c>
      <c r="Y57">
        <v>0</v>
      </c>
      <c r="Z57" s="2">
        <v>317325.59999999998</v>
      </c>
      <c r="AA57">
        <v>0</v>
      </c>
      <c r="AB57">
        <v>0</v>
      </c>
      <c r="AC57" s="2">
        <v>317325.59999999998</v>
      </c>
      <c r="AD57" t="s">
        <v>55</v>
      </c>
    </row>
    <row r="58" spans="1:30" x14ac:dyDescent="0.35">
      <c r="A58">
        <v>56</v>
      </c>
      <c r="B58">
        <v>281871</v>
      </c>
      <c r="C58">
        <v>328013210</v>
      </c>
      <c r="D58" t="s">
        <v>503</v>
      </c>
      <c r="E58" t="s">
        <v>53</v>
      </c>
      <c r="F58" s="1">
        <v>46240</v>
      </c>
      <c r="G58" t="s">
        <v>504</v>
      </c>
      <c r="H58">
        <v>62</v>
      </c>
      <c r="I58" s="1">
        <v>46240</v>
      </c>
      <c r="J58" t="s">
        <v>142</v>
      </c>
      <c r="K58" t="s">
        <v>141</v>
      </c>
      <c r="L58" t="s">
        <v>18</v>
      </c>
      <c r="M58" t="s">
        <v>25</v>
      </c>
      <c r="N58" t="s">
        <v>150</v>
      </c>
      <c r="P58" t="s">
        <v>59</v>
      </c>
      <c r="Q58" t="s">
        <v>465</v>
      </c>
      <c r="R58" s="2">
        <v>1000</v>
      </c>
      <c r="S58">
        <v>12</v>
      </c>
      <c r="T58" s="2">
        <v>12000</v>
      </c>
      <c r="U58">
        <v>0</v>
      </c>
      <c r="V58">
        <v>0</v>
      </c>
      <c r="W58" s="2">
        <v>2197.8000000000002</v>
      </c>
      <c r="X58">
        <v>210</v>
      </c>
      <c r="Y58">
        <v>37.799999999999997</v>
      </c>
      <c r="Z58" s="2">
        <v>14407.8</v>
      </c>
      <c r="AA58">
        <v>0</v>
      </c>
      <c r="AB58">
        <v>0</v>
      </c>
      <c r="AC58" s="2">
        <v>14407.8</v>
      </c>
      <c r="AD58" t="s">
        <v>57</v>
      </c>
    </row>
    <row r="59" spans="1:30" x14ac:dyDescent="0.35">
      <c r="A59">
        <v>57</v>
      </c>
      <c r="B59">
        <v>281874</v>
      </c>
      <c r="C59">
        <v>328013212</v>
      </c>
      <c r="D59" t="s">
        <v>505</v>
      </c>
      <c r="E59" t="s">
        <v>53</v>
      </c>
      <c r="F59" s="1">
        <v>46240</v>
      </c>
      <c r="G59" t="s">
        <v>493</v>
      </c>
      <c r="H59" t="s">
        <v>494</v>
      </c>
      <c r="I59" s="1">
        <v>46100</v>
      </c>
      <c r="J59" t="s">
        <v>142</v>
      </c>
      <c r="K59" t="s">
        <v>446</v>
      </c>
      <c r="L59" t="s">
        <v>12</v>
      </c>
      <c r="M59" t="s">
        <v>21</v>
      </c>
      <c r="N59" t="s">
        <v>506</v>
      </c>
      <c r="O59" t="s">
        <v>507</v>
      </c>
      <c r="P59" t="s">
        <v>54</v>
      </c>
      <c r="Q59" t="s">
        <v>447</v>
      </c>
      <c r="R59" s="2">
        <v>48000</v>
      </c>
      <c r="S59">
        <v>1.25</v>
      </c>
      <c r="T59" s="2">
        <v>60000</v>
      </c>
      <c r="U59">
        <v>0</v>
      </c>
      <c r="V59">
        <v>0</v>
      </c>
      <c r="W59" s="2">
        <v>10800</v>
      </c>
      <c r="X59">
        <v>0</v>
      </c>
      <c r="Y59">
        <v>0</v>
      </c>
      <c r="Z59" s="2">
        <v>70800</v>
      </c>
      <c r="AA59">
        <v>0</v>
      </c>
      <c r="AB59">
        <v>0</v>
      </c>
      <c r="AC59" s="2">
        <v>70800</v>
      </c>
      <c r="AD59" t="s">
        <v>55</v>
      </c>
    </row>
    <row r="60" spans="1:30" x14ac:dyDescent="0.35">
      <c r="A60">
        <v>58</v>
      </c>
      <c r="B60">
        <v>281876</v>
      </c>
      <c r="C60">
        <v>328013214</v>
      </c>
      <c r="D60" t="s">
        <v>508</v>
      </c>
      <c r="E60" t="s">
        <v>53</v>
      </c>
      <c r="F60" s="1">
        <v>46240</v>
      </c>
      <c r="G60" t="s">
        <v>493</v>
      </c>
      <c r="H60" t="s">
        <v>497</v>
      </c>
      <c r="I60" s="1">
        <v>46161</v>
      </c>
      <c r="J60" t="s">
        <v>142</v>
      </c>
      <c r="K60" t="s">
        <v>446</v>
      </c>
      <c r="L60" t="s">
        <v>12</v>
      </c>
      <c r="M60" t="s">
        <v>21</v>
      </c>
      <c r="N60" t="s">
        <v>509</v>
      </c>
      <c r="O60" t="s">
        <v>510</v>
      </c>
      <c r="P60" t="s">
        <v>54</v>
      </c>
      <c r="Q60" t="s">
        <v>447</v>
      </c>
      <c r="R60" s="2">
        <v>120000</v>
      </c>
      <c r="S60">
        <v>1.34</v>
      </c>
      <c r="T60" s="2">
        <v>160800</v>
      </c>
      <c r="U60">
        <v>0</v>
      </c>
      <c r="V60">
        <v>0</v>
      </c>
      <c r="W60" s="2">
        <v>28944</v>
      </c>
      <c r="X60">
        <v>0</v>
      </c>
      <c r="Y60">
        <v>0</v>
      </c>
      <c r="Z60" s="2">
        <v>189744</v>
      </c>
      <c r="AA60">
        <v>0</v>
      </c>
      <c r="AB60">
        <v>0</v>
      </c>
      <c r="AC60" s="2">
        <v>189744</v>
      </c>
      <c r="AD60" t="s">
        <v>55</v>
      </c>
    </row>
    <row r="61" spans="1:30" x14ac:dyDescent="0.35">
      <c r="A61">
        <v>59</v>
      </c>
      <c r="B61">
        <v>281876</v>
      </c>
      <c r="C61">
        <v>328013214</v>
      </c>
      <c r="D61" t="s">
        <v>508</v>
      </c>
      <c r="E61" t="s">
        <v>53</v>
      </c>
      <c r="F61" s="1">
        <v>46240</v>
      </c>
      <c r="G61" t="s">
        <v>493</v>
      </c>
      <c r="H61" t="s">
        <v>497</v>
      </c>
      <c r="I61" s="1">
        <v>46161</v>
      </c>
      <c r="J61" t="s">
        <v>142</v>
      </c>
      <c r="K61" t="s">
        <v>446</v>
      </c>
      <c r="L61" t="s">
        <v>12</v>
      </c>
      <c r="M61" t="s">
        <v>21</v>
      </c>
      <c r="N61" t="s">
        <v>511</v>
      </c>
      <c r="O61" t="s">
        <v>512</v>
      </c>
      <c r="P61" t="s">
        <v>54</v>
      </c>
      <c r="Q61" t="s">
        <v>447</v>
      </c>
      <c r="R61" s="2">
        <v>51000</v>
      </c>
      <c r="S61">
        <v>1.34</v>
      </c>
      <c r="T61" s="2">
        <v>68340</v>
      </c>
      <c r="U61">
        <v>0</v>
      </c>
      <c r="V61">
        <v>0</v>
      </c>
      <c r="W61" s="2">
        <v>12301.2</v>
      </c>
      <c r="X61">
        <v>0</v>
      </c>
      <c r="Y61">
        <v>0</v>
      </c>
      <c r="Z61" s="2">
        <v>80641.2</v>
      </c>
      <c r="AA61">
        <v>0</v>
      </c>
      <c r="AB61">
        <v>0</v>
      </c>
      <c r="AC61" s="2">
        <v>80641.2</v>
      </c>
      <c r="AD61" t="s">
        <v>55</v>
      </c>
    </row>
    <row r="62" spans="1:30" x14ac:dyDescent="0.35">
      <c r="A62">
        <v>60</v>
      </c>
      <c r="B62">
        <v>281881</v>
      </c>
      <c r="C62">
        <v>328013217</v>
      </c>
      <c r="D62" t="s">
        <v>513</v>
      </c>
      <c r="E62" t="s">
        <v>53</v>
      </c>
      <c r="F62" s="1">
        <v>46240</v>
      </c>
      <c r="G62" t="s">
        <v>493</v>
      </c>
      <c r="H62" t="s">
        <v>501</v>
      </c>
      <c r="I62" s="1">
        <v>46129</v>
      </c>
      <c r="J62" t="s">
        <v>142</v>
      </c>
      <c r="K62" t="s">
        <v>446</v>
      </c>
      <c r="L62" t="s">
        <v>12</v>
      </c>
      <c r="M62" t="s">
        <v>21</v>
      </c>
      <c r="N62" t="s">
        <v>514</v>
      </c>
      <c r="O62" t="s">
        <v>515</v>
      </c>
      <c r="P62" t="s">
        <v>54</v>
      </c>
      <c r="Q62" t="s">
        <v>447</v>
      </c>
      <c r="R62" s="2">
        <v>84000</v>
      </c>
      <c r="S62">
        <v>1.34</v>
      </c>
      <c r="T62" s="2">
        <v>112560</v>
      </c>
      <c r="U62">
        <v>0</v>
      </c>
      <c r="V62">
        <v>0</v>
      </c>
      <c r="W62" s="2">
        <v>20260.8</v>
      </c>
      <c r="X62">
        <v>0</v>
      </c>
      <c r="Y62">
        <v>0</v>
      </c>
      <c r="Z62" s="2">
        <v>132820.79999999999</v>
      </c>
      <c r="AA62">
        <v>0</v>
      </c>
      <c r="AB62">
        <v>0</v>
      </c>
      <c r="AC62" s="2">
        <v>132820.79999999999</v>
      </c>
      <c r="AD62" t="s">
        <v>55</v>
      </c>
    </row>
    <row r="63" spans="1:30" x14ac:dyDescent="0.35">
      <c r="A63">
        <v>61</v>
      </c>
      <c r="B63">
        <v>281881</v>
      </c>
      <c r="C63">
        <v>328013217</v>
      </c>
      <c r="D63" t="s">
        <v>513</v>
      </c>
      <c r="E63" t="s">
        <v>53</v>
      </c>
      <c r="F63" s="1">
        <v>46240</v>
      </c>
      <c r="G63" t="s">
        <v>493</v>
      </c>
      <c r="H63" t="s">
        <v>501</v>
      </c>
      <c r="I63" s="1">
        <v>46129</v>
      </c>
      <c r="J63" t="s">
        <v>142</v>
      </c>
      <c r="K63" t="s">
        <v>446</v>
      </c>
      <c r="L63" t="s">
        <v>12</v>
      </c>
      <c r="M63" t="s">
        <v>21</v>
      </c>
      <c r="N63" t="s">
        <v>516</v>
      </c>
      <c r="O63" t="s">
        <v>517</v>
      </c>
      <c r="P63" t="s">
        <v>54</v>
      </c>
      <c r="Q63" t="s">
        <v>518</v>
      </c>
      <c r="R63" s="2">
        <v>40000</v>
      </c>
      <c r="S63">
        <v>4.63</v>
      </c>
      <c r="T63" s="2">
        <v>185200</v>
      </c>
      <c r="U63">
        <v>0</v>
      </c>
      <c r="V63">
        <v>0</v>
      </c>
      <c r="W63" s="2">
        <v>33336</v>
      </c>
      <c r="X63">
        <v>0</v>
      </c>
      <c r="Y63">
        <v>0</v>
      </c>
      <c r="Z63" s="2">
        <v>218536</v>
      </c>
      <c r="AA63">
        <v>0</v>
      </c>
      <c r="AB63">
        <v>0</v>
      </c>
      <c r="AC63" s="2">
        <v>218536</v>
      </c>
      <c r="AD63" t="s">
        <v>55</v>
      </c>
    </row>
    <row r="64" spans="1:30" x14ac:dyDescent="0.35">
      <c r="A64">
        <v>62</v>
      </c>
      <c r="B64">
        <v>281881</v>
      </c>
      <c r="C64">
        <v>328013217</v>
      </c>
      <c r="D64" t="s">
        <v>513</v>
      </c>
      <c r="E64" t="s">
        <v>53</v>
      </c>
      <c r="F64" s="1">
        <v>46240</v>
      </c>
      <c r="G64" t="s">
        <v>493</v>
      </c>
      <c r="H64" t="s">
        <v>501</v>
      </c>
      <c r="I64" s="1">
        <v>46129</v>
      </c>
      <c r="J64" t="s">
        <v>142</v>
      </c>
      <c r="K64" t="s">
        <v>446</v>
      </c>
      <c r="L64" t="s">
        <v>12</v>
      </c>
      <c r="M64" t="s">
        <v>21</v>
      </c>
      <c r="N64" t="s">
        <v>519</v>
      </c>
      <c r="O64" t="s">
        <v>520</v>
      </c>
      <c r="P64" t="s">
        <v>54</v>
      </c>
      <c r="Q64" t="s">
        <v>447</v>
      </c>
      <c r="R64" s="2">
        <v>9000</v>
      </c>
      <c r="S64">
        <v>1.1499999999999999</v>
      </c>
      <c r="T64" s="2">
        <v>10350</v>
      </c>
      <c r="U64">
        <v>0</v>
      </c>
      <c r="V64">
        <v>0</v>
      </c>
      <c r="W64" s="2">
        <v>1863</v>
      </c>
      <c r="X64">
        <v>0</v>
      </c>
      <c r="Y64">
        <v>0</v>
      </c>
      <c r="Z64" s="2">
        <v>12213</v>
      </c>
      <c r="AA64">
        <v>0</v>
      </c>
      <c r="AB64">
        <v>0</v>
      </c>
      <c r="AC64" s="2">
        <v>12213</v>
      </c>
      <c r="AD64" t="s">
        <v>55</v>
      </c>
    </row>
    <row r="65" spans="1:30" x14ac:dyDescent="0.35">
      <c r="A65">
        <v>63</v>
      </c>
      <c r="B65">
        <v>281881</v>
      </c>
      <c r="C65">
        <v>328013217</v>
      </c>
      <c r="D65" t="s">
        <v>513</v>
      </c>
      <c r="E65" t="s">
        <v>53</v>
      </c>
      <c r="F65" s="1">
        <v>46240</v>
      </c>
      <c r="G65" t="s">
        <v>493</v>
      </c>
      <c r="H65" t="s">
        <v>501</v>
      </c>
      <c r="I65" s="1">
        <v>46129</v>
      </c>
      <c r="J65" t="s">
        <v>142</v>
      </c>
      <c r="K65" t="s">
        <v>446</v>
      </c>
      <c r="L65" t="s">
        <v>12</v>
      </c>
      <c r="M65" t="s">
        <v>21</v>
      </c>
      <c r="N65" t="s">
        <v>521</v>
      </c>
      <c r="O65" t="s">
        <v>522</v>
      </c>
      <c r="P65" t="s">
        <v>54</v>
      </c>
      <c r="Q65" t="s">
        <v>447</v>
      </c>
      <c r="R65" s="2">
        <v>21000</v>
      </c>
      <c r="S65">
        <v>2.14</v>
      </c>
      <c r="T65" s="2">
        <v>44940</v>
      </c>
      <c r="U65">
        <v>0</v>
      </c>
      <c r="V65">
        <v>0</v>
      </c>
      <c r="W65" s="2">
        <v>8089.2</v>
      </c>
      <c r="X65">
        <v>0</v>
      </c>
      <c r="Y65">
        <v>0</v>
      </c>
      <c r="Z65" s="2">
        <v>53029.2</v>
      </c>
      <c r="AA65">
        <v>0</v>
      </c>
      <c r="AB65">
        <v>0</v>
      </c>
      <c r="AC65" s="2">
        <v>53029.2</v>
      </c>
      <c r="AD65" t="s">
        <v>55</v>
      </c>
    </row>
    <row r="66" spans="1:30" x14ac:dyDescent="0.35">
      <c r="A66">
        <v>64</v>
      </c>
      <c r="B66">
        <v>281881</v>
      </c>
      <c r="C66">
        <v>328013217</v>
      </c>
      <c r="D66" t="s">
        <v>513</v>
      </c>
      <c r="E66" t="s">
        <v>53</v>
      </c>
      <c r="F66" s="1">
        <v>46240</v>
      </c>
      <c r="G66" t="s">
        <v>493</v>
      </c>
      <c r="H66" t="s">
        <v>501</v>
      </c>
      <c r="I66" s="1">
        <v>46129</v>
      </c>
      <c r="J66" t="s">
        <v>142</v>
      </c>
      <c r="K66" t="s">
        <v>446</v>
      </c>
      <c r="L66" t="s">
        <v>12</v>
      </c>
      <c r="M66" t="s">
        <v>21</v>
      </c>
      <c r="N66" t="s">
        <v>498</v>
      </c>
      <c r="O66" t="s">
        <v>499</v>
      </c>
      <c r="P66" t="s">
        <v>54</v>
      </c>
      <c r="Q66" t="s">
        <v>447</v>
      </c>
      <c r="R66" s="2">
        <v>99000</v>
      </c>
      <c r="S66">
        <v>1.34</v>
      </c>
      <c r="T66" s="2">
        <v>132660</v>
      </c>
      <c r="U66">
        <v>0</v>
      </c>
      <c r="V66">
        <v>0</v>
      </c>
      <c r="W66" s="2">
        <v>23878.799999999999</v>
      </c>
      <c r="X66">
        <v>0</v>
      </c>
      <c r="Y66">
        <v>0</v>
      </c>
      <c r="Z66" s="2">
        <v>156538.79999999999</v>
      </c>
      <c r="AA66">
        <v>0</v>
      </c>
      <c r="AB66">
        <v>0</v>
      </c>
      <c r="AC66" s="2">
        <v>156538.79999999999</v>
      </c>
      <c r="AD66" t="s">
        <v>55</v>
      </c>
    </row>
    <row r="67" spans="1:30" x14ac:dyDescent="0.35">
      <c r="A67">
        <v>65</v>
      </c>
      <c r="B67">
        <v>281881</v>
      </c>
      <c r="C67">
        <v>328013217</v>
      </c>
      <c r="D67" t="s">
        <v>513</v>
      </c>
      <c r="E67" t="s">
        <v>53</v>
      </c>
      <c r="F67" s="1">
        <v>46240</v>
      </c>
      <c r="G67" t="s">
        <v>493</v>
      </c>
      <c r="H67" t="s">
        <v>501</v>
      </c>
      <c r="I67" s="1">
        <v>46129</v>
      </c>
      <c r="J67" t="s">
        <v>142</v>
      </c>
      <c r="K67" t="s">
        <v>446</v>
      </c>
      <c r="L67" t="s">
        <v>12</v>
      </c>
      <c r="M67" t="s">
        <v>21</v>
      </c>
      <c r="N67" t="s">
        <v>523</v>
      </c>
      <c r="O67" t="s">
        <v>524</v>
      </c>
      <c r="P67" t="s">
        <v>54</v>
      </c>
      <c r="Q67" t="s">
        <v>447</v>
      </c>
      <c r="R67" s="2">
        <v>10000</v>
      </c>
      <c r="S67">
        <v>2.12</v>
      </c>
      <c r="T67" s="2">
        <v>21200</v>
      </c>
      <c r="U67">
        <v>0</v>
      </c>
      <c r="V67">
        <v>0</v>
      </c>
      <c r="W67" s="2">
        <v>3816</v>
      </c>
      <c r="X67">
        <v>0</v>
      </c>
      <c r="Y67">
        <v>0</v>
      </c>
      <c r="Z67" s="2">
        <v>25016</v>
      </c>
      <c r="AA67">
        <v>0</v>
      </c>
      <c r="AB67">
        <v>0</v>
      </c>
      <c r="AC67" s="2">
        <v>25016</v>
      </c>
      <c r="AD67" t="s">
        <v>55</v>
      </c>
    </row>
    <row r="68" spans="1:30" x14ac:dyDescent="0.35">
      <c r="A68">
        <v>66</v>
      </c>
      <c r="B68">
        <v>281881</v>
      </c>
      <c r="C68">
        <v>328013217</v>
      </c>
      <c r="D68" t="s">
        <v>513</v>
      </c>
      <c r="E68" t="s">
        <v>53</v>
      </c>
      <c r="F68" s="1">
        <v>46240</v>
      </c>
      <c r="G68" t="s">
        <v>493</v>
      </c>
      <c r="H68" t="s">
        <v>501</v>
      </c>
      <c r="I68" s="1">
        <v>46129</v>
      </c>
      <c r="J68" t="s">
        <v>142</v>
      </c>
      <c r="K68" t="s">
        <v>446</v>
      </c>
      <c r="L68" t="s">
        <v>12</v>
      </c>
      <c r="M68" t="s">
        <v>21</v>
      </c>
      <c r="N68" t="s">
        <v>488</v>
      </c>
      <c r="O68" t="s">
        <v>502</v>
      </c>
      <c r="P68" t="s">
        <v>54</v>
      </c>
      <c r="Q68" t="s">
        <v>451</v>
      </c>
      <c r="R68" s="2">
        <v>30000</v>
      </c>
      <c r="S68">
        <v>0.54</v>
      </c>
      <c r="T68" s="2">
        <v>16200</v>
      </c>
      <c r="U68">
        <v>0</v>
      </c>
      <c r="V68">
        <v>0</v>
      </c>
      <c r="W68" s="2">
        <v>2916</v>
      </c>
      <c r="X68">
        <v>0</v>
      </c>
      <c r="Y68">
        <v>0</v>
      </c>
      <c r="Z68" s="2">
        <v>19116</v>
      </c>
      <c r="AA68">
        <v>0</v>
      </c>
      <c r="AB68">
        <v>0</v>
      </c>
      <c r="AC68" s="2">
        <v>19116</v>
      </c>
      <c r="AD68" t="s">
        <v>55</v>
      </c>
    </row>
    <row r="69" spans="1:30" x14ac:dyDescent="0.35">
      <c r="A69">
        <v>67</v>
      </c>
      <c r="B69">
        <v>281882</v>
      </c>
      <c r="C69">
        <v>328013218</v>
      </c>
      <c r="D69" t="s">
        <v>525</v>
      </c>
      <c r="E69" t="s">
        <v>53</v>
      </c>
      <c r="F69" s="1">
        <v>46240</v>
      </c>
      <c r="G69" t="s">
        <v>493</v>
      </c>
      <c r="H69" t="s">
        <v>526</v>
      </c>
      <c r="I69" s="1">
        <v>46085</v>
      </c>
      <c r="J69" t="s">
        <v>142</v>
      </c>
      <c r="K69" t="s">
        <v>446</v>
      </c>
      <c r="L69" t="s">
        <v>12</v>
      </c>
      <c r="M69" t="s">
        <v>21</v>
      </c>
      <c r="N69" t="s">
        <v>527</v>
      </c>
      <c r="O69" t="s">
        <v>528</v>
      </c>
      <c r="P69" t="s">
        <v>54</v>
      </c>
      <c r="Q69" t="s">
        <v>451</v>
      </c>
      <c r="R69" s="2">
        <v>300000</v>
      </c>
      <c r="S69">
        <v>2.0499999999999998</v>
      </c>
      <c r="T69" s="2">
        <v>615000</v>
      </c>
      <c r="U69">
        <v>0</v>
      </c>
      <c r="V69">
        <v>0</v>
      </c>
      <c r="W69" s="2">
        <v>110700</v>
      </c>
      <c r="X69">
        <v>0</v>
      </c>
      <c r="Y69">
        <v>0</v>
      </c>
      <c r="Z69" s="2">
        <v>725700</v>
      </c>
      <c r="AA69">
        <v>0</v>
      </c>
      <c r="AB69">
        <v>0</v>
      </c>
      <c r="AC69" s="2">
        <v>725700</v>
      </c>
      <c r="AD69" t="s">
        <v>55</v>
      </c>
    </row>
    <row r="70" spans="1:30" x14ac:dyDescent="0.35">
      <c r="A70">
        <v>68</v>
      </c>
      <c r="B70">
        <v>281917</v>
      </c>
      <c r="C70">
        <v>328013248</v>
      </c>
      <c r="D70" t="s">
        <v>529</v>
      </c>
      <c r="E70" t="s">
        <v>53</v>
      </c>
      <c r="F70" s="1">
        <v>46240</v>
      </c>
      <c r="G70" t="s">
        <v>530</v>
      </c>
      <c r="H70">
        <v>4501083070</v>
      </c>
      <c r="I70" s="1">
        <v>46181</v>
      </c>
      <c r="J70" t="s">
        <v>142</v>
      </c>
      <c r="K70" t="s">
        <v>141</v>
      </c>
      <c r="L70" t="s">
        <v>18</v>
      </c>
      <c r="M70" t="s">
        <v>21</v>
      </c>
      <c r="N70" t="s">
        <v>531</v>
      </c>
      <c r="O70" t="s">
        <v>532</v>
      </c>
      <c r="P70" t="s">
        <v>54</v>
      </c>
      <c r="Q70" t="s">
        <v>443</v>
      </c>
      <c r="R70" s="2">
        <v>3000</v>
      </c>
      <c r="S70">
        <v>5.4</v>
      </c>
      <c r="T70" s="2">
        <v>16200</v>
      </c>
      <c r="U70">
        <v>0</v>
      </c>
      <c r="V70">
        <v>0</v>
      </c>
      <c r="W70" s="2">
        <v>2916</v>
      </c>
      <c r="X70">
        <v>0</v>
      </c>
      <c r="Y70">
        <v>0</v>
      </c>
      <c r="Z70" s="2">
        <v>19116</v>
      </c>
      <c r="AA70">
        <v>0</v>
      </c>
      <c r="AB70">
        <v>0</v>
      </c>
      <c r="AC70" s="2">
        <v>19116</v>
      </c>
      <c r="AD70" t="s">
        <v>55</v>
      </c>
    </row>
    <row r="71" spans="1:30" x14ac:dyDescent="0.35">
      <c r="A71">
        <v>69</v>
      </c>
      <c r="B71">
        <v>281918</v>
      </c>
      <c r="C71">
        <v>328013249</v>
      </c>
      <c r="D71" t="s">
        <v>533</v>
      </c>
      <c r="E71" t="s">
        <v>53</v>
      </c>
      <c r="F71" s="1">
        <v>46240</v>
      </c>
      <c r="G71" t="s">
        <v>530</v>
      </c>
      <c r="H71">
        <v>4501083206</v>
      </c>
      <c r="I71" s="1">
        <v>46182</v>
      </c>
      <c r="J71" t="s">
        <v>142</v>
      </c>
      <c r="K71" t="s">
        <v>141</v>
      </c>
      <c r="L71" t="s">
        <v>18</v>
      </c>
      <c r="M71" t="s">
        <v>21</v>
      </c>
      <c r="N71" t="s">
        <v>531</v>
      </c>
      <c r="O71" t="s">
        <v>532</v>
      </c>
      <c r="P71" t="s">
        <v>54</v>
      </c>
      <c r="Q71" t="s">
        <v>443</v>
      </c>
      <c r="R71" s="2">
        <v>18000</v>
      </c>
      <c r="S71">
        <v>5.4</v>
      </c>
      <c r="T71" s="2">
        <v>97200</v>
      </c>
      <c r="U71">
        <v>0</v>
      </c>
      <c r="V71">
        <v>0</v>
      </c>
      <c r="W71" s="2">
        <v>17496</v>
      </c>
      <c r="X71">
        <v>0</v>
      </c>
      <c r="Y71">
        <v>0</v>
      </c>
      <c r="Z71" s="2">
        <v>114696</v>
      </c>
      <c r="AA71">
        <v>0</v>
      </c>
      <c r="AB71">
        <v>0</v>
      </c>
      <c r="AC71" s="2">
        <v>114696</v>
      </c>
      <c r="AD71" t="s">
        <v>55</v>
      </c>
    </row>
    <row r="72" spans="1:30" x14ac:dyDescent="0.35">
      <c r="A72">
        <v>70</v>
      </c>
      <c r="B72">
        <v>281922</v>
      </c>
      <c r="C72">
        <v>328013252</v>
      </c>
      <c r="D72" t="s">
        <v>534</v>
      </c>
      <c r="E72" t="s">
        <v>53</v>
      </c>
      <c r="F72" s="1">
        <v>46240</v>
      </c>
      <c r="G72" t="s">
        <v>530</v>
      </c>
      <c r="H72">
        <v>4501079853</v>
      </c>
      <c r="I72" s="1">
        <v>46170</v>
      </c>
      <c r="J72" t="s">
        <v>142</v>
      </c>
      <c r="K72" t="s">
        <v>141</v>
      </c>
      <c r="L72" t="s">
        <v>18</v>
      </c>
      <c r="M72" t="s">
        <v>21</v>
      </c>
      <c r="N72" t="s">
        <v>535</v>
      </c>
      <c r="O72" t="s">
        <v>536</v>
      </c>
      <c r="P72" t="s">
        <v>54</v>
      </c>
      <c r="Q72" t="s">
        <v>518</v>
      </c>
      <c r="R72" s="2">
        <v>39000</v>
      </c>
      <c r="S72">
        <v>4.58</v>
      </c>
      <c r="T72" s="2">
        <v>178620</v>
      </c>
      <c r="U72">
        <v>0</v>
      </c>
      <c r="V72">
        <v>0</v>
      </c>
      <c r="W72" s="2">
        <v>32151.599999999999</v>
      </c>
      <c r="X72">
        <v>0</v>
      </c>
      <c r="Y72">
        <v>0</v>
      </c>
      <c r="Z72" s="2">
        <v>210771.6</v>
      </c>
      <c r="AA72">
        <v>0</v>
      </c>
      <c r="AB72">
        <v>0</v>
      </c>
      <c r="AC72" s="2">
        <v>210771.6</v>
      </c>
      <c r="AD72" t="s">
        <v>55</v>
      </c>
    </row>
    <row r="73" spans="1:30" x14ac:dyDescent="0.35">
      <c r="A73">
        <v>71</v>
      </c>
      <c r="B73">
        <v>281926</v>
      </c>
      <c r="C73">
        <v>328013256</v>
      </c>
      <c r="D73" t="s">
        <v>537</v>
      </c>
      <c r="E73" t="s">
        <v>53</v>
      </c>
      <c r="F73" s="1">
        <v>46240</v>
      </c>
      <c r="G73" t="s">
        <v>89</v>
      </c>
      <c r="H73">
        <v>4501064918</v>
      </c>
      <c r="I73" s="1">
        <v>46094</v>
      </c>
      <c r="J73" t="s">
        <v>142</v>
      </c>
      <c r="K73" t="s">
        <v>141</v>
      </c>
      <c r="L73" t="s">
        <v>18</v>
      </c>
      <c r="M73" t="s">
        <v>21</v>
      </c>
      <c r="N73" t="s">
        <v>531</v>
      </c>
      <c r="O73" t="s">
        <v>532</v>
      </c>
      <c r="P73" t="s">
        <v>54</v>
      </c>
      <c r="Q73" t="s">
        <v>443</v>
      </c>
      <c r="R73" s="2">
        <v>45000</v>
      </c>
      <c r="S73">
        <v>5.4</v>
      </c>
      <c r="T73" s="2">
        <v>243000</v>
      </c>
      <c r="U73">
        <v>0</v>
      </c>
      <c r="V73">
        <v>0</v>
      </c>
      <c r="W73" s="2">
        <v>43740</v>
      </c>
      <c r="X73">
        <v>0</v>
      </c>
      <c r="Y73">
        <v>0</v>
      </c>
      <c r="Z73" s="2">
        <v>286740</v>
      </c>
      <c r="AA73">
        <v>0</v>
      </c>
      <c r="AB73">
        <v>0</v>
      </c>
      <c r="AC73" s="2">
        <v>286740</v>
      </c>
      <c r="AD73" t="s">
        <v>55</v>
      </c>
    </row>
    <row r="74" spans="1:30" x14ac:dyDescent="0.35">
      <c r="A74">
        <v>72</v>
      </c>
      <c r="B74">
        <v>281926</v>
      </c>
      <c r="C74">
        <v>328013256</v>
      </c>
      <c r="D74" t="s">
        <v>537</v>
      </c>
      <c r="E74" t="s">
        <v>53</v>
      </c>
      <c r="F74" s="1">
        <v>46240</v>
      </c>
      <c r="G74" t="s">
        <v>89</v>
      </c>
      <c r="H74">
        <v>4501064918</v>
      </c>
      <c r="I74" s="1">
        <v>46094</v>
      </c>
      <c r="J74" t="s">
        <v>142</v>
      </c>
      <c r="K74" t="s">
        <v>141</v>
      </c>
      <c r="L74" t="s">
        <v>18</v>
      </c>
      <c r="M74" t="s">
        <v>21</v>
      </c>
      <c r="N74" t="s">
        <v>531</v>
      </c>
      <c r="O74" t="s">
        <v>532</v>
      </c>
      <c r="P74" t="s">
        <v>54</v>
      </c>
      <c r="Q74" t="s">
        <v>443</v>
      </c>
      <c r="R74" s="2">
        <v>18000</v>
      </c>
      <c r="S74">
        <v>5.4</v>
      </c>
      <c r="T74" s="2">
        <v>97200</v>
      </c>
      <c r="U74">
        <v>0</v>
      </c>
      <c r="V74">
        <v>0</v>
      </c>
      <c r="W74" s="2">
        <v>17496</v>
      </c>
      <c r="X74">
        <v>0</v>
      </c>
      <c r="Y74">
        <v>0</v>
      </c>
      <c r="Z74" s="2">
        <v>114696</v>
      </c>
      <c r="AA74">
        <v>0</v>
      </c>
      <c r="AB74">
        <v>0</v>
      </c>
      <c r="AC74" s="2">
        <v>114696</v>
      </c>
      <c r="AD74" t="s">
        <v>55</v>
      </c>
    </row>
    <row r="75" spans="1:30" x14ac:dyDescent="0.35">
      <c r="A75">
        <v>73</v>
      </c>
      <c r="B75">
        <v>281930</v>
      </c>
      <c r="C75">
        <v>328013260</v>
      </c>
      <c r="D75" t="s">
        <v>538</v>
      </c>
      <c r="E75" t="s">
        <v>53</v>
      </c>
      <c r="F75" s="1">
        <v>46240</v>
      </c>
      <c r="G75" t="s">
        <v>89</v>
      </c>
      <c r="H75">
        <v>4501084816</v>
      </c>
      <c r="I75" s="1">
        <v>46195</v>
      </c>
      <c r="J75" t="s">
        <v>142</v>
      </c>
      <c r="K75" t="s">
        <v>141</v>
      </c>
      <c r="L75" t="s">
        <v>18</v>
      </c>
      <c r="M75" t="s">
        <v>21</v>
      </c>
      <c r="N75" t="s">
        <v>539</v>
      </c>
      <c r="O75" t="s">
        <v>540</v>
      </c>
      <c r="P75" t="s">
        <v>54</v>
      </c>
      <c r="Q75" t="s">
        <v>451</v>
      </c>
      <c r="R75" s="2">
        <v>10000</v>
      </c>
      <c r="S75">
        <v>1.9</v>
      </c>
      <c r="T75" s="2">
        <v>19000</v>
      </c>
      <c r="U75">
        <v>0</v>
      </c>
      <c r="V75">
        <v>0</v>
      </c>
      <c r="W75" s="2">
        <v>3420</v>
      </c>
      <c r="X75">
        <v>0</v>
      </c>
      <c r="Y75">
        <v>0</v>
      </c>
      <c r="Z75" s="2">
        <v>22420</v>
      </c>
      <c r="AA75">
        <v>0</v>
      </c>
      <c r="AB75">
        <v>0</v>
      </c>
      <c r="AC75" s="2">
        <v>22420</v>
      </c>
      <c r="AD75" t="s">
        <v>55</v>
      </c>
    </row>
    <row r="76" spans="1:30" x14ac:dyDescent="0.35">
      <c r="A76">
        <v>74</v>
      </c>
      <c r="B76">
        <v>281944</v>
      </c>
      <c r="C76">
        <v>328013272</v>
      </c>
      <c r="D76" t="s">
        <v>541</v>
      </c>
      <c r="E76" t="s">
        <v>53</v>
      </c>
      <c r="F76" s="1">
        <v>46240</v>
      </c>
      <c r="G76" t="s">
        <v>89</v>
      </c>
      <c r="H76">
        <v>4501079050</v>
      </c>
      <c r="I76" s="1">
        <v>46165</v>
      </c>
      <c r="J76" t="s">
        <v>142</v>
      </c>
      <c r="K76" t="s">
        <v>141</v>
      </c>
      <c r="L76" t="s">
        <v>18</v>
      </c>
      <c r="M76" t="s">
        <v>21</v>
      </c>
      <c r="N76" t="s">
        <v>542</v>
      </c>
      <c r="O76" t="s">
        <v>543</v>
      </c>
      <c r="P76" t="s">
        <v>54</v>
      </c>
      <c r="Q76" t="s">
        <v>447</v>
      </c>
      <c r="R76" s="2">
        <v>81000</v>
      </c>
      <c r="S76">
        <v>0.64</v>
      </c>
      <c r="T76" s="2">
        <v>51840</v>
      </c>
      <c r="U76">
        <v>0</v>
      </c>
      <c r="V76">
        <v>0</v>
      </c>
      <c r="W76" s="2">
        <v>9331.2000000000007</v>
      </c>
      <c r="X76">
        <v>0</v>
      </c>
      <c r="Y76">
        <v>0</v>
      </c>
      <c r="Z76" s="2">
        <v>61171.199999999997</v>
      </c>
      <c r="AA76">
        <v>0</v>
      </c>
      <c r="AB76">
        <v>0</v>
      </c>
      <c r="AC76" s="2">
        <v>61171.199999999997</v>
      </c>
      <c r="AD76" t="s">
        <v>55</v>
      </c>
    </row>
    <row r="77" spans="1:30" x14ac:dyDescent="0.35">
      <c r="A77">
        <v>75</v>
      </c>
      <c r="B77">
        <v>281945</v>
      </c>
      <c r="C77">
        <v>328013273</v>
      </c>
      <c r="D77" t="s">
        <v>544</v>
      </c>
      <c r="E77" t="s">
        <v>53</v>
      </c>
      <c r="F77" s="1">
        <v>46240</v>
      </c>
      <c r="G77" t="s">
        <v>89</v>
      </c>
      <c r="H77">
        <v>4501084794</v>
      </c>
      <c r="I77" s="1">
        <v>46193</v>
      </c>
      <c r="J77" t="s">
        <v>142</v>
      </c>
      <c r="K77" t="s">
        <v>141</v>
      </c>
      <c r="L77" t="s">
        <v>18</v>
      </c>
      <c r="M77" t="s">
        <v>21</v>
      </c>
      <c r="N77" t="s">
        <v>542</v>
      </c>
      <c r="O77" t="s">
        <v>545</v>
      </c>
      <c r="P77" t="s">
        <v>54</v>
      </c>
      <c r="Q77" t="s">
        <v>447</v>
      </c>
      <c r="R77" s="2">
        <v>108000</v>
      </c>
      <c r="S77">
        <v>0.65</v>
      </c>
      <c r="T77" s="2">
        <v>70200</v>
      </c>
      <c r="U77">
        <v>0</v>
      </c>
      <c r="V77">
        <v>0</v>
      </c>
      <c r="W77" s="2">
        <v>12636</v>
      </c>
      <c r="X77">
        <v>0</v>
      </c>
      <c r="Y77">
        <v>0</v>
      </c>
      <c r="Z77" s="2">
        <v>82836</v>
      </c>
      <c r="AA77">
        <v>0</v>
      </c>
      <c r="AB77">
        <v>0</v>
      </c>
      <c r="AC77" s="2">
        <v>82836</v>
      </c>
      <c r="AD77" t="s">
        <v>55</v>
      </c>
    </row>
    <row r="78" spans="1:30" x14ac:dyDescent="0.35">
      <c r="A78">
        <v>76</v>
      </c>
      <c r="B78">
        <v>281952</v>
      </c>
      <c r="C78">
        <v>328013279</v>
      </c>
      <c r="D78" t="s">
        <v>546</v>
      </c>
      <c r="E78" t="s">
        <v>53</v>
      </c>
      <c r="F78" s="1">
        <v>46240</v>
      </c>
      <c r="G78" t="s">
        <v>547</v>
      </c>
      <c r="H78" t="s">
        <v>548</v>
      </c>
      <c r="I78" s="1">
        <v>46238</v>
      </c>
      <c r="J78" t="s">
        <v>142</v>
      </c>
      <c r="K78" t="s">
        <v>141</v>
      </c>
      <c r="L78" t="s">
        <v>15</v>
      </c>
      <c r="M78" t="s">
        <v>22</v>
      </c>
      <c r="N78" t="s">
        <v>549</v>
      </c>
      <c r="O78" t="s">
        <v>550</v>
      </c>
      <c r="P78" t="s">
        <v>103</v>
      </c>
      <c r="Q78" t="s">
        <v>551</v>
      </c>
      <c r="R78" s="2">
        <v>1000</v>
      </c>
      <c r="S78" s="2">
        <v>1138.78</v>
      </c>
      <c r="T78" s="2">
        <v>1138780</v>
      </c>
      <c r="U78">
        <v>0</v>
      </c>
      <c r="V78">
        <v>0</v>
      </c>
      <c r="W78" s="2">
        <v>204980.4</v>
      </c>
      <c r="X78">
        <v>0</v>
      </c>
      <c r="Y78">
        <v>0</v>
      </c>
      <c r="Z78" s="2">
        <v>1343760.4</v>
      </c>
      <c r="AA78">
        <v>0</v>
      </c>
      <c r="AB78">
        <v>0</v>
      </c>
      <c r="AC78" s="2">
        <v>1343760.4</v>
      </c>
      <c r="AD78" t="s">
        <v>55</v>
      </c>
    </row>
    <row r="79" spans="1:30" x14ac:dyDescent="0.35">
      <c r="A79">
        <v>77</v>
      </c>
      <c r="B79">
        <v>281955</v>
      </c>
      <c r="C79">
        <v>328013281</v>
      </c>
      <c r="D79" t="s">
        <v>552</v>
      </c>
      <c r="E79" t="s">
        <v>53</v>
      </c>
      <c r="F79" s="1">
        <v>46240</v>
      </c>
      <c r="G79" t="s">
        <v>547</v>
      </c>
      <c r="H79" t="s">
        <v>553</v>
      </c>
      <c r="I79" s="1">
        <v>46233</v>
      </c>
      <c r="J79" t="s">
        <v>142</v>
      </c>
      <c r="K79" t="s">
        <v>141</v>
      </c>
      <c r="L79" t="s">
        <v>15</v>
      </c>
      <c r="M79" t="s">
        <v>22</v>
      </c>
      <c r="N79" t="s">
        <v>554</v>
      </c>
      <c r="O79" t="s">
        <v>555</v>
      </c>
      <c r="P79" t="s">
        <v>103</v>
      </c>
      <c r="Q79" t="s">
        <v>556</v>
      </c>
      <c r="R79" s="2">
        <v>4320</v>
      </c>
      <c r="S79" s="2">
        <v>1023.96</v>
      </c>
      <c r="T79" s="2">
        <v>4423507.2</v>
      </c>
      <c r="U79">
        <v>0</v>
      </c>
      <c r="V79">
        <v>0</v>
      </c>
      <c r="W79" s="2">
        <v>796231.29599999997</v>
      </c>
      <c r="X79">
        <v>0</v>
      </c>
      <c r="Y79">
        <v>0</v>
      </c>
      <c r="Z79" s="2">
        <v>5219738.4960000003</v>
      </c>
      <c r="AA79">
        <v>0</v>
      </c>
      <c r="AB79">
        <v>0</v>
      </c>
      <c r="AC79" s="2">
        <v>5219738.4960000003</v>
      </c>
      <c r="AD79" t="s">
        <v>55</v>
      </c>
    </row>
    <row r="80" spans="1:30" x14ac:dyDescent="0.35">
      <c r="A80">
        <v>78</v>
      </c>
      <c r="B80">
        <v>281957</v>
      </c>
      <c r="C80">
        <v>328013283</v>
      </c>
      <c r="D80" t="s">
        <v>557</v>
      </c>
      <c r="E80" t="s">
        <v>53</v>
      </c>
      <c r="F80" s="1">
        <v>46240</v>
      </c>
      <c r="G80" t="s">
        <v>558</v>
      </c>
      <c r="H80" t="s">
        <v>559</v>
      </c>
      <c r="I80" s="1">
        <v>46192</v>
      </c>
      <c r="J80" t="s">
        <v>142</v>
      </c>
      <c r="K80" t="s">
        <v>141</v>
      </c>
      <c r="L80" t="s">
        <v>18</v>
      </c>
      <c r="M80" t="s">
        <v>24</v>
      </c>
      <c r="N80" t="s">
        <v>560</v>
      </c>
      <c r="O80" t="s">
        <v>560</v>
      </c>
      <c r="P80" t="s">
        <v>61</v>
      </c>
      <c r="Q80" t="s">
        <v>460</v>
      </c>
      <c r="R80" s="2">
        <v>11000</v>
      </c>
      <c r="S80">
        <v>207</v>
      </c>
      <c r="T80" s="2">
        <v>2277000</v>
      </c>
      <c r="U80">
        <v>0</v>
      </c>
      <c r="V80">
        <v>0</v>
      </c>
      <c r="W80" s="2">
        <v>410310</v>
      </c>
      <c r="X80" s="2">
        <v>2500</v>
      </c>
      <c r="Y80">
        <v>450</v>
      </c>
      <c r="Z80" s="2">
        <v>2689810</v>
      </c>
      <c r="AA80">
        <v>0</v>
      </c>
      <c r="AB80">
        <v>0</v>
      </c>
      <c r="AC80" s="2">
        <v>2689810</v>
      </c>
      <c r="AD80" t="s">
        <v>57</v>
      </c>
    </row>
    <row r="81" spans="1:30" x14ac:dyDescent="0.35">
      <c r="A81">
        <v>79</v>
      </c>
      <c r="B81">
        <v>281972</v>
      </c>
      <c r="C81">
        <v>328013290</v>
      </c>
      <c r="D81" t="s">
        <v>561</v>
      </c>
      <c r="E81" t="s">
        <v>53</v>
      </c>
      <c r="F81" s="1">
        <v>46241</v>
      </c>
      <c r="G81" t="s">
        <v>254</v>
      </c>
      <c r="H81">
        <v>510058375</v>
      </c>
      <c r="I81" s="1">
        <v>46184</v>
      </c>
      <c r="J81" t="s">
        <v>142</v>
      </c>
      <c r="K81" t="s">
        <v>141</v>
      </c>
      <c r="L81" t="s">
        <v>80</v>
      </c>
      <c r="M81" t="s">
        <v>24</v>
      </c>
      <c r="N81" t="s">
        <v>562</v>
      </c>
      <c r="O81">
        <v>39911956</v>
      </c>
      <c r="P81" t="s">
        <v>56</v>
      </c>
      <c r="Q81" t="s">
        <v>563</v>
      </c>
      <c r="R81" s="2">
        <v>3920</v>
      </c>
      <c r="S81">
        <v>28.66</v>
      </c>
      <c r="T81" s="2">
        <v>112347.2</v>
      </c>
      <c r="U81">
        <v>0</v>
      </c>
      <c r="V81">
        <v>0</v>
      </c>
      <c r="W81" s="2">
        <v>20222.495999999999</v>
      </c>
      <c r="X81">
        <v>0</v>
      </c>
      <c r="Y81">
        <v>0</v>
      </c>
      <c r="Z81" s="2">
        <v>132569.696</v>
      </c>
      <c r="AA81">
        <v>0</v>
      </c>
      <c r="AB81">
        <v>0</v>
      </c>
      <c r="AC81" s="2">
        <v>132569.696</v>
      </c>
      <c r="AD81" t="s">
        <v>57</v>
      </c>
    </row>
    <row r="82" spans="1:30" x14ac:dyDescent="0.35">
      <c r="A82">
        <v>80</v>
      </c>
      <c r="B82">
        <v>281991</v>
      </c>
      <c r="C82">
        <v>328013302</v>
      </c>
      <c r="D82" t="s">
        <v>564</v>
      </c>
      <c r="E82" t="s">
        <v>53</v>
      </c>
      <c r="F82" s="1">
        <v>46241</v>
      </c>
      <c r="G82" t="s">
        <v>565</v>
      </c>
      <c r="H82" t="s">
        <v>566</v>
      </c>
      <c r="I82" s="1">
        <v>46164</v>
      </c>
      <c r="J82" t="s">
        <v>142</v>
      </c>
      <c r="K82" t="s">
        <v>141</v>
      </c>
      <c r="L82" t="s">
        <v>13</v>
      </c>
      <c r="M82" t="s">
        <v>14</v>
      </c>
      <c r="N82" t="s">
        <v>567</v>
      </c>
      <c r="O82" t="s">
        <v>568</v>
      </c>
      <c r="P82" t="s">
        <v>569</v>
      </c>
      <c r="Q82" t="s">
        <v>445</v>
      </c>
      <c r="R82">
        <v>485</v>
      </c>
      <c r="S82" s="2">
        <v>1380</v>
      </c>
      <c r="T82" s="2">
        <v>669300</v>
      </c>
      <c r="U82">
        <v>0</v>
      </c>
      <c r="V82">
        <v>0</v>
      </c>
      <c r="W82" s="2">
        <v>120474</v>
      </c>
      <c r="X82">
        <v>0</v>
      </c>
      <c r="Y82">
        <v>0</v>
      </c>
      <c r="Z82" s="2">
        <v>789774</v>
      </c>
      <c r="AA82">
        <v>0</v>
      </c>
      <c r="AB82">
        <v>0</v>
      </c>
      <c r="AC82" s="2">
        <v>789774</v>
      </c>
      <c r="AD82" t="s">
        <v>55</v>
      </c>
    </row>
    <row r="83" spans="1:30" x14ac:dyDescent="0.35">
      <c r="A83">
        <v>81</v>
      </c>
      <c r="B83">
        <v>282007</v>
      </c>
      <c r="C83">
        <v>328013313</v>
      </c>
      <c r="D83" t="s">
        <v>570</v>
      </c>
      <c r="E83" t="s">
        <v>53</v>
      </c>
      <c r="F83" s="1">
        <v>46241</v>
      </c>
      <c r="G83" t="s">
        <v>431</v>
      </c>
      <c r="H83">
        <v>7100000514</v>
      </c>
      <c r="I83" s="1">
        <v>46135</v>
      </c>
      <c r="J83" t="s">
        <v>142</v>
      </c>
      <c r="K83" t="s">
        <v>141</v>
      </c>
      <c r="L83" t="s">
        <v>80</v>
      </c>
      <c r="M83" t="s">
        <v>17</v>
      </c>
      <c r="N83" t="s">
        <v>571</v>
      </c>
      <c r="O83">
        <v>1011002121</v>
      </c>
      <c r="P83" t="s">
        <v>65</v>
      </c>
      <c r="Q83" t="s">
        <v>572</v>
      </c>
      <c r="R83" s="2">
        <v>11200</v>
      </c>
      <c r="S83">
        <v>10.71</v>
      </c>
      <c r="T83" s="2">
        <v>119952</v>
      </c>
      <c r="U83">
        <v>0</v>
      </c>
      <c r="V83">
        <v>0</v>
      </c>
      <c r="W83" s="2">
        <v>21591.360000000001</v>
      </c>
      <c r="X83">
        <v>0</v>
      </c>
      <c r="Y83">
        <v>0</v>
      </c>
      <c r="Z83" s="2">
        <v>141543.35999999999</v>
      </c>
      <c r="AA83">
        <v>0</v>
      </c>
      <c r="AB83">
        <v>0</v>
      </c>
      <c r="AC83" s="2">
        <v>141543.35999999999</v>
      </c>
      <c r="AD83" t="s">
        <v>38</v>
      </c>
    </row>
    <row r="84" spans="1:30" x14ac:dyDescent="0.35">
      <c r="A84">
        <v>82</v>
      </c>
      <c r="B84">
        <v>282007</v>
      </c>
      <c r="C84">
        <v>328013313</v>
      </c>
      <c r="D84" t="s">
        <v>570</v>
      </c>
      <c r="E84" t="s">
        <v>53</v>
      </c>
      <c r="F84" s="1">
        <v>46241</v>
      </c>
      <c r="G84" t="s">
        <v>431</v>
      </c>
      <c r="H84">
        <v>7100000514</v>
      </c>
      <c r="I84" s="1">
        <v>46135</v>
      </c>
      <c r="J84" t="s">
        <v>142</v>
      </c>
      <c r="K84" t="s">
        <v>141</v>
      </c>
      <c r="L84" t="s">
        <v>80</v>
      </c>
      <c r="M84" t="s">
        <v>17</v>
      </c>
      <c r="N84" t="s">
        <v>571</v>
      </c>
      <c r="O84">
        <v>1011002121</v>
      </c>
      <c r="P84" t="s">
        <v>65</v>
      </c>
      <c r="Q84" t="s">
        <v>572</v>
      </c>
      <c r="R84" s="2">
        <v>4800</v>
      </c>
      <c r="S84">
        <v>10.71</v>
      </c>
      <c r="T84" s="2">
        <v>51408</v>
      </c>
      <c r="U84">
        <v>0</v>
      </c>
      <c r="V84">
        <v>0</v>
      </c>
      <c r="W84" s="2">
        <v>9253.44</v>
      </c>
      <c r="X84">
        <v>0</v>
      </c>
      <c r="Y84">
        <v>0</v>
      </c>
      <c r="Z84" s="2">
        <v>60661.440000000002</v>
      </c>
      <c r="AA84">
        <v>0</v>
      </c>
      <c r="AB84">
        <v>0</v>
      </c>
      <c r="AC84" s="2">
        <v>60661.440000000002</v>
      </c>
      <c r="AD84" t="s">
        <v>38</v>
      </c>
    </row>
    <row r="85" spans="1:30" x14ac:dyDescent="0.35">
      <c r="A85">
        <v>83</v>
      </c>
      <c r="B85">
        <v>282008</v>
      </c>
      <c r="C85">
        <v>328013314</v>
      </c>
      <c r="D85" t="s">
        <v>573</v>
      </c>
      <c r="E85" t="s">
        <v>53</v>
      </c>
      <c r="F85" s="1">
        <v>46241</v>
      </c>
      <c r="G85" t="s">
        <v>431</v>
      </c>
      <c r="H85">
        <v>7100004210</v>
      </c>
      <c r="I85" s="1">
        <v>46107</v>
      </c>
      <c r="J85" t="s">
        <v>142</v>
      </c>
      <c r="K85" t="s">
        <v>141</v>
      </c>
      <c r="L85" t="s">
        <v>80</v>
      </c>
      <c r="M85" t="s">
        <v>17</v>
      </c>
      <c r="N85" t="s">
        <v>574</v>
      </c>
      <c r="O85">
        <v>1011001225</v>
      </c>
      <c r="P85" t="s">
        <v>575</v>
      </c>
      <c r="Q85" t="s">
        <v>454</v>
      </c>
      <c r="R85" s="2">
        <v>6000</v>
      </c>
      <c r="S85">
        <v>0.95</v>
      </c>
      <c r="T85" s="2">
        <v>5700</v>
      </c>
      <c r="U85">
        <v>0</v>
      </c>
      <c r="V85">
        <v>0</v>
      </c>
      <c r="W85" s="2">
        <v>1026</v>
      </c>
      <c r="X85">
        <v>0</v>
      </c>
      <c r="Y85">
        <v>0</v>
      </c>
      <c r="Z85" s="2">
        <v>6726</v>
      </c>
      <c r="AA85">
        <v>0</v>
      </c>
      <c r="AB85">
        <v>0</v>
      </c>
      <c r="AC85" s="2">
        <v>6726</v>
      </c>
      <c r="AD85" t="s">
        <v>64</v>
      </c>
    </row>
    <row r="86" spans="1:30" x14ac:dyDescent="0.35">
      <c r="A86">
        <v>84</v>
      </c>
      <c r="B86">
        <v>282008</v>
      </c>
      <c r="C86">
        <v>328013314</v>
      </c>
      <c r="D86" t="s">
        <v>573</v>
      </c>
      <c r="E86" t="s">
        <v>53</v>
      </c>
      <c r="F86" s="1">
        <v>46241</v>
      </c>
      <c r="G86" t="s">
        <v>431</v>
      </c>
      <c r="H86">
        <v>7100004210</v>
      </c>
      <c r="I86" s="1">
        <v>46107</v>
      </c>
      <c r="J86" t="s">
        <v>142</v>
      </c>
      <c r="K86" t="s">
        <v>141</v>
      </c>
      <c r="L86" t="s">
        <v>80</v>
      </c>
      <c r="M86" t="s">
        <v>17</v>
      </c>
      <c r="N86" t="s">
        <v>576</v>
      </c>
      <c r="O86">
        <v>1011001223</v>
      </c>
      <c r="P86" t="s">
        <v>575</v>
      </c>
      <c r="Q86" t="s">
        <v>454</v>
      </c>
      <c r="R86" s="2">
        <v>6000</v>
      </c>
      <c r="S86">
        <v>0.75</v>
      </c>
      <c r="T86" s="2">
        <v>4500</v>
      </c>
      <c r="U86">
        <v>0</v>
      </c>
      <c r="V86">
        <v>0</v>
      </c>
      <c r="W86">
        <v>810</v>
      </c>
      <c r="X86">
        <v>0</v>
      </c>
      <c r="Y86">
        <v>0</v>
      </c>
      <c r="Z86" s="2">
        <v>5310</v>
      </c>
      <c r="AA86">
        <v>0</v>
      </c>
      <c r="AB86">
        <v>0</v>
      </c>
      <c r="AC86" s="2">
        <v>5310</v>
      </c>
      <c r="AD86" t="s">
        <v>64</v>
      </c>
    </row>
    <row r="87" spans="1:30" x14ac:dyDescent="0.35">
      <c r="A87">
        <v>85</v>
      </c>
      <c r="B87">
        <v>282010</v>
      </c>
      <c r="C87">
        <v>328013316</v>
      </c>
      <c r="D87" t="s">
        <v>577</v>
      </c>
      <c r="E87" t="s">
        <v>53</v>
      </c>
      <c r="F87" s="1">
        <v>46241</v>
      </c>
      <c r="G87" t="s">
        <v>431</v>
      </c>
      <c r="H87">
        <v>7100004048</v>
      </c>
      <c r="I87" s="1">
        <v>46053</v>
      </c>
      <c r="J87" t="s">
        <v>142</v>
      </c>
      <c r="K87" t="s">
        <v>141</v>
      </c>
      <c r="L87" t="s">
        <v>80</v>
      </c>
      <c r="M87" t="s">
        <v>17</v>
      </c>
      <c r="N87" t="s">
        <v>578</v>
      </c>
      <c r="O87">
        <v>1011001215</v>
      </c>
      <c r="P87" t="s">
        <v>54</v>
      </c>
      <c r="Q87" t="s">
        <v>447</v>
      </c>
      <c r="R87" s="2">
        <v>1000</v>
      </c>
      <c r="S87">
        <v>31.28</v>
      </c>
      <c r="T87" s="2">
        <v>31280</v>
      </c>
      <c r="U87">
        <v>0</v>
      </c>
      <c r="V87">
        <v>0</v>
      </c>
      <c r="W87" s="2">
        <v>5630.4</v>
      </c>
      <c r="X87">
        <v>0</v>
      </c>
      <c r="Y87">
        <v>0</v>
      </c>
      <c r="Z87" s="2">
        <v>36910.400000000001</v>
      </c>
      <c r="AA87">
        <v>0</v>
      </c>
      <c r="AB87">
        <v>0</v>
      </c>
      <c r="AC87" s="2">
        <v>36910.400000000001</v>
      </c>
      <c r="AD87" t="s">
        <v>55</v>
      </c>
    </row>
    <row r="88" spans="1:30" x14ac:dyDescent="0.35">
      <c r="A88">
        <v>86</v>
      </c>
      <c r="B88">
        <v>282010</v>
      </c>
      <c r="C88">
        <v>328013316</v>
      </c>
      <c r="D88" t="s">
        <v>577</v>
      </c>
      <c r="E88" t="s">
        <v>53</v>
      </c>
      <c r="F88" s="1">
        <v>46241</v>
      </c>
      <c r="G88" t="s">
        <v>431</v>
      </c>
      <c r="H88">
        <v>7100004048</v>
      </c>
      <c r="I88" s="1">
        <v>46053</v>
      </c>
      <c r="J88" t="s">
        <v>142</v>
      </c>
      <c r="K88" t="s">
        <v>141</v>
      </c>
      <c r="L88" t="s">
        <v>80</v>
      </c>
      <c r="M88" t="s">
        <v>17</v>
      </c>
      <c r="N88" t="s">
        <v>579</v>
      </c>
      <c r="O88">
        <v>1011000664</v>
      </c>
      <c r="P88" t="s">
        <v>54</v>
      </c>
      <c r="Q88" t="s">
        <v>447</v>
      </c>
      <c r="R88" s="2">
        <v>12000</v>
      </c>
      <c r="S88">
        <v>2.5299999999999998</v>
      </c>
      <c r="T88" s="2">
        <v>30360</v>
      </c>
      <c r="U88">
        <v>0</v>
      </c>
      <c r="V88">
        <v>0</v>
      </c>
      <c r="W88" s="2">
        <v>5464.8</v>
      </c>
      <c r="X88">
        <v>0</v>
      </c>
      <c r="Y88">
        <v>0</v>
      </c>
      <c r="Z88" s="2">
        <v>35824.800000000003</v>
      </c>
      <c r="AA88">
        <v>0</v>
      </c>
      <c r="AB88">
        <v>0</v>
      </c>
      <c r="AC88" s="2">
        <v>35824.800000000003</v>
      </c>
      <c r="AD88" t="s">
        <v>55</v>
      </c>
    </row>
    <row r="89" spans="1:30" x14ac:dyDescent="0.35">
      <c r="A89">
        <v>87</v>
      </c>
      <c r="B89">
        <v>282010</v>
      </c>
      <c r="C89">
        <v>328013316</v>
      </c>
      <c r="D89" t="s">
        <v>577</v>
      </c>
      <c r="E89" t="s">
        <v>53</v>
      </c>
      <c r="F89" s="1">
        <v>46241</v>
      </c>
      <c r="G89" t="s">
        <v>431</v>
      </c>
      <c r="H89">
        <v>7100004048</v>
      </c>
      <c r="I89" s="1">
        <v>46053</v>
      </c>
      <c r="J89" t="s">
        <v>142</v>
      </c>
      <c r="K89" t="s">
        <v>141</v>
      </c>
      <c r="L89" t="s">
        <v>80</v>
      </c>
      <c r="M89" t="s">
        <v>17</v>
      </c>
      <c r="N89" t="s">
        <v>580</v>
      </c>
      <c r="O89">
        <v>1011000415</v>
      </c>
      <c r="P89" t="s">
        <v>54</v>
      </c>
      <c r="Q89" t="s">
        <v>447</v>
      </c>
      <c r="R89" s="2">
        <v>22500</v>
      </c>
      <c r="S89">
        <v>0.43</v>
      </c>
      <c r="T89" s="2">
        <v>9675</v>
      </c>
      <c r="U89">
        <v>0</v>
      </c>
      <c r="V89">
        <v>0</v>
      </c>
      <c r="W89" s="2">
        <v>1741.5</v>
      </c>
      <c r="X89">
        <v>0</v>
      </c>
      <c r="Y89">
        <v>0</v>
      </c>
      <c r="Z89" s="2">
        <v>11416.5</v>
      </c>
      <c r="AA89">
        <v>0</v>
      </c>
      <c r="AB89">
        <v>0</v>
      </c>
      <c r="AC89" s="2">
        <v>11416.5</v>
      </c>
      <c r="AD89" t="s">
        <v>55</v>
      </c>
    </row>
    <row r="90" spans="1:30" x14ac:dyDescent="0.35">
      <c r="A90">
        <v>88</v>
      </c>
      <c r="B90">
        <v>282010</v>
      </c>
      <c r="C90">
        <v>328013316</v>
      </c>
      <c r="D90" t="s">
        <v>577</v>
      </c>
      <c r="E90" t="s">
        <v>53</v>
      </c>
      <c r="F90" s="1">
        <v>46241</v>
      </c>
      <c r="G90" t="s">
        <v>431</v>
      </c>
      <c r="H90">
        <v>7100004048</v>
      </c>
      <c r="I90" s="1">
        <v>46053</v>
      </c>
      <c r="J90" t="s">
        <v>142</v>
      </c>
      <c r="K90" t="s">
        <v>141</v>
      </c>
      <c r="L90" t="s">
        <v>80</v>
      </c>
      <c r="M90" t="s">
        <v>17</v>
      </c>
      <c r="N90" t="s">
        <v>581</v>
      </c>
      <c r="O90">
        <v>1011002411</v>
      </c>
      <c r="P90" t="s">
        <v>402</v>
      </c>
      <c r="Q90" t="s">
        <v>458</v>
      </c>
      <c r="R90" s="2">
        <v>6240</v>
      </c>
      <c r="S90">
        <v>15.53</v>
      </c>
      <c r="T90" s="2">
        <v>96907.199999999997</v>
      </c>
      <c r="U90">
        <v>0</v>
      </c>
      <c r="V90">
        <v>0</v>
      </c>
      <c r="W90" s="2">
        <v>17443.295999999998</v>
      </c>
      <c r="X90">
        <v>0</v>
      </c>
      <c r="Y90">
        <v>0</v>
      </c>
      <c r="Z90" s="2">
        <v>114350.496</v>
      </c>
      <c r="AA90">
        <v>0</v>
      </c>
      <c r="AB90">
        <v>0</v>
      </c>
      <c r="AC90" s="2">
        <v>114350.496</v>
      </c>
      <c r="AD90" t="s">
        <v>55</v>
      </c>
    </row>
    <row r="91" spans="1:30" x14ac:dyDescent="0.35">
      <c r="A91">
        <v>89</v>
      </c>
      <c r="B91">
        <v>282010</v>
      </c>
      <c r="C91">
        <v>328013316</v>
      </c>
      <c r="D91" t="s">
        <v>577</v>
      </c>
      <c r="E91" t="s">
        <v>53</v>
      </c>
      <c r="F91" s="1">
        <v>46241</v>
      </c>
      <c r="G91" t="s">
        <v>431</v>
      </c>
      <c r="H91">
        <v>7100004048</v>
      </c>
      <c r="I91" s="1">
        <v>46053</v>
      </c>
      <c r="J91" t="s">
        <v>142</v>
      </c>
      <c r="K91" t="s">
        <v>141</v>
      </c>
      <c r="L91" t="s">
        <v>80</v>
      </c>
      <c r="M91" t="s">
        <v>17</v>
      </c>
      <c r="N91" t="s">
        <v>582</v>
      </c>
      <c r="O91">
        <v>1011000203</v>
      </c>
      <c r="P91" t="s">
        <v>54</v>
      </c>
      <c r="Q91" t="s">
        <v>447</v>
      </c>
      <c r="R91" s="2">
        <v>5000</v>
      </c>
      <c r="S91">
        <v>4.16</v>
      </c>
      <c r="T91" s="2">
        <v>20800</v>
      </c>
      <c r="U91">
        <v>0</v>
      </c>
      <c r="V91">
        <v>0</v>
      </c>
      <c r="W91" s="2">
        <v>3744</v>
      </c>
      <c r="X91">
        <v>0</v>
      </c>
      <c r="Y91">
        <v>0</v>
      </c>
      <c r="Z91" s="2">
        <v>24544</v>
      </c>
      <c r="AA91">
        <v>0</v>
      </c>
      <c r="AB91">
        <v>0</v>
      </c>
      <c r="AC91" s="2">
        <v>24544</v>
      </c>
      <c r="AD91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CC96-DE23-4D96-84CD-3CB9C7D518A5}">
  <dimension ref="A1:AD30"/>
  <sheetViews>
    <sheetView topLeftCell="L1" workbookViewId="0">
      <selection activeCell="U1" sqref="U1"/>
    </sheetView>
  </sheetViews>
  <sheetFormatPr defaultRowHeight="14.5" x14ac:dyDescent="0.35"/>
  <cols>
    <col min="1" max="1" width="2.81640625" bestFit="1" customWidth="1"/>
    <col min="2" max="2" width="14.7265625" bestFit="1" customWidth="1"/>
    <col min="3" max="3" width="9.81640625" bestFit="1" customWidth="1"/>
    <col min="4" max="4" width="9.54296875" bestFit="1" customWidth="1"/>
    <col min="5" max="5" width="11.81640625" bestFit="1" customWidth="1"/>
    <col min="6" max="6" width="10.08984375" bestFit="1" customWidth="1"/>
    <col min="7" max="7" width="42.7265625" bestFit="1" customWidth="1"/>
    <col min="8" max="8" width="24.36328125" bestFit="1" customWidth="1"/>
    <col min="9" max="9" width="16.1796875" bestFit="1" customWidth="1"/>
    <col min="10" max="10" width="6.81640625" bestFit="1" customWidth="1"/>
    <col min="11" max="11" width="10.26953125" bestFit="1" customWidth="1"/>
    <col min="12" max="12" width="21.90625" bestFit="1" customWidth="1"/>
    <col min="13" max="13" width="16.08984375" bestFit="1" customWidth="1"/>
    <col min="14" max="14" width="22.36328125" bestFit="1" customWidth="1"/>
    <col min="15" max="15" width="15.6328125" bestFit="1" customWidth="1"/>
    <col min="16" max="16" width="13.6328125" bestFit="1" customWidth="1"/>
    <col min="17" max="17" width="17.1796875" bestFit="1" customWidth="1"/>
    <col min="18" max="18" width="8" bestFit="1" customWidth="1"/>
    <col min="20" max="20" width="10.26953125" bestFit="1" customWidth="1"/>
    <col min="21" max="21" width="5.08984375" bestFit="1" customWidth="1"/>
    <col min="22" max="22" width="4.90625" bestFit="1" customWidth="1"/>
    <col min="23" max="23" width="8.81640625" bestFit="1" customWidth="1"/>
    <col min="24" max="24" width="11.1796875" bestFit="1" customWidth="1"/>
    <col min="25" max="25" width="14.6328125" bestFit="1" customWidth="1"/>
    <col min="26" max="26" width="10.26953125" bestFit="1" customWidth="1"/>
    <col min="27" max="27" width="10.81640625" bestFit="1" customWidth="1"/>
    <col min="28" max="28" width="8.26953125" bestFit="1" customWidth="1"/>
    <col min="29" max="29" width="10.26953125" bestFit="1" customWidth="1"/>
    <col min="30" max="30" width="15.1796875" bestFit="1" customWidth="1"/>
  </cols>
  <sheetData>
    <row r="1" spans="1:30" x14ac:dyDescent="0.35">
      <c r="T1" s="5">
        <f>SUBTOTAL(9,T3:T30)</f>
        <v>655757.93999999994</v>
      </c>
    </row>
    <row r="2" spans="1:30" x14ac:dyDescent="0.35">
      <c r="A2" t="s">
        <v>124</v>
      </c>
      <c r="B2" t="s">
        <v>29</v>
      </c>
      <c r="C2" t="s">
        <v>0</v>
      </c>
      <c r="D2" t="s">
        <v>40</v>
      </c>
      <c r="E2" t="s">
        <v>26</v>
      </c>
      <c r="F2" t="s">
        <v>1</v>
      </c>
      <c r="G2" t="s">
        <v>2</v>
      </c>
      <c r="H2" t="s">
        <v>96</v>
      </c>
      <c r="I2" t="s">
        <v>97</v>
      </c>
      <c r="J2" t="s">
        <v>140</v>
      </c>
      <c r="K2" t="s">
        <v>139</v>
      </c>
      <c r="L2" t="s">
        <v>3</v>
      </c>
      <c r="M2" t="s">
        <v>20</v>
      </c>
      <c r="N2" t="s">
        <v>4</v>
      </c>
      <c r="O2" t="s">
        <v>27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10</v>
      </c>
      <c r="AD2" t="s">
        <v>28</v>
      </c>
    </row>
    <row r="3" spans="1:30" x14ac:dyDescent="0.35">
      <c r="A3">
        <v>1</v>
      </c>
      <c r="B3">
        <v>281443</v>
      </c>
      <c r="C3">
        <v>328012867</v>
      </c>
      <c r="D3" t="s">
        <v>259</v>
      </c>
      <c r="E3" t="s">
        <v>52</v>
      </c>
      <c r="F3" s="1">
        <v>46237</v>
      </c>
      <c r="G3" t="s">
        <v>260</v>
      </c>
      <c r="H3" t="s">
        <v>261</v>
      </c>
      <c r="I3" s="1">
        <v>46227</v>
      </c>
      <c r="J3" t="s">
        <v>142</v>
      </c>
      <c r="K3" t="s">
        <v>141</v>
      </c>
      <c r="L3" t="s">
        <v>18</v>
      </c>
      <c r="M3" t="s">
        <v>14</v>
      </c>
      <c r="N3" t="s">
        <v>262</v>
      </c>
      <c r="P3" t="s">
        <v>6</v>
      </c>
      <c r="Q3" t="s">
        <v>41</v>
      </c>
      <c r="R3">
        <v>100</v>
      </c>
      <c r="S3">
        <v>12.26</v>
      </c>
      <c r="T3" s="2">
        <v>1226</v>
      </c>
      <c r="U3">
        <v>0</v>
      </c>
      <c r="V3">
        <v>0</v>
      </c>
      <c r="W3">
        <v>220.68</v>
      </c>
      <c r="X3">
        <v>0</v>
      </c>
      <c r="Y3">
        <v>0</v>
      </c>
      <c r="Z3" s="2">
        <v>1446.68</v>
      </c>
      <c r="AA3">
        <v>0</v>
      </c>
      <c r="AB3">
        <v>0</v>
      </c>
      <c r="AC3" s="2">
        <v>1446.68</v>
      </c>
      <c r="AD3" t="s">
        <v>38</v>
      </c>
    </row>
    <row r="4" spans="1:30" x14ac:dyDescent="0.35">
      <c r="A4">
        <v>2</v>
      </c>
      <c r="B4">
        <v>281443</v>
      </c>
      <c r="C4">
        <v>328012867</v>
      </c>
      <c r="D4" t="s">
        <v>259</v>
      </c>
      <c r="E4" t="s">
        <v>52</v>
      </c>
      <c r="F4" s="1">
        <v>46237</v>
      </c>
      <c r="G4" t="s">
        <v>260</v>
      </c>
      <c r="H4" t="s">
        <v>261</v>
      </c>
      <c r="I4" s="1">
        <v>46227</v>
      </c>
      <c r="J4" t="s">
        <v>142</v>
      </c>
      <c r="K4" t="s">
        <v>141</v>
      </c>
      <c r="L4" t="s">
        <v>18</v>
      </c>
      <c r="M4" t="s">
        <v>14</v>
      </c>
      <c r="N4" t="s">
        <v>147</v>
      </c>
      <c r="P4" t="s">
        <v>6</v>
      </c>
      <c r="Q4" t="s">
        <v>148</v>
      </c>
      <c r="R4">
        <v>50</v>
      </c>
      <c r="S4">
        <v>31.08</v>
      </c>
      <c r="T4" s="2">
        <v>1554</v>
      </c>
      <c r="U4">
        <v>0</v>
      </c>
      <c r="V4">
        <v>0</v>
      </c>
      <c r="W4">
        <v>279.72000000000003</v>
      </c>
      <c r="X4">
        <v>0</v>
      </c>
      <c r="Y4">
        <v>0</v>
      </c>
      <c r="Z4" s="2">
        <v>1833.72</v>
      </c>
      <c r="AA4">
        <v>0</v>
      </c>
      <c r="AB4">
        <v>0</v>
      </c>
      <c r="AC4" s="2">
        <v>1833.72</v>
      </c>
      <c r="AD4" t="s">
        <v>38</v>
      </c>
    </row>
    <row r="5" spans="1:30" x14ac:dyDescent="0.35">
      <c r="A5">
        <v>3</v>
      </c>
      <c r="B5">
        <v>281443</v>
      </c>
      <c r="C5">
        <v>328012867</v>
      </c>
      <c r="D5" t="s">
        <v>259</v>
      </c>
      <c r="E5" t="s">
        <v>52</v>
      </c>
      <c r="F5" s="1">
        <v>46237</v>
      </c>
      <c r="G5" t="s">
        <v>260</v>
      </c>
      <c r="H5" t="s">
        <v>261</v>
      </c>
      <c r="I5" s="1">
        <v>46227</v>
      </c>
      <c r="J5" t="s">
        <v>142</v>
      </c>
      <c r="K5" t="s">
        <v>141</v>
      </c>
      <c r="L5" t="s">
        <v>18</v>
      </c>
      <c r="M5" t="s">
        <v>14</v>
      </c>
      <c r="N5" t="s">
        <v>263</v>
      </c>
      <c r="P5" t="s">
        <v>6</v>
      </c>
      <c r="Q5" t="s">
        <v>44</v>
      </c>
      <c r="R5">
        <v>50</v>
      </c>
      <c r="S5">
        <v>12.36</v>
      </c>
      <c r="T5">
        <v>618</v>
      </c>
      <c r="U5">
        <v>0</v>
      </c>
      <c r="V5">
        <v>0</v>
      </c>
      <c r="W5">
        <v>111.24</v>
      </c>
      <c r="X5">
        <v>0</v>
      </c>
      <c r="Y5">
        <v>0</v>
      </c>
      <c r="Z5">
        <v>729.24</v>
      </c>
      <c r="AA5">
        <v>0</v>
      </c>
      <c r="AB5">
        <v>0</v>
      </c>
      <c r="AC5">
        <v>729.24</v>
      </c>
      <c r="AD5" t="s">
        <v>38</v>
      </c>
    </row>
    <row r="6" spans="1:30" x14ac:dyDescent="0.35">
      <c r="A6">
        <v>4</v>
      </c>
      <c r="B6">
        <v>281465</v>
      </c>
      <c r="C6">
        <v>328012888</v>
      </c>
      <c r="D6" t="s">
        <v>264</v>
      </c>
      <c r="E6" t="s">
        <v>52</v>
      </c>
      <c r="F6" s="1">
        <v>46237</v>
      </c>
      <c r="G6" t="s">
        <v>48</v>
      </c>
      <c r="H6">
        <v>4000010016</v>
      </c>
      <c r="I6" s="1">
        <v>46227</v>
      </c>
      <c r="J6" t="s">
        <v>142</v>
      </c>
      <c r="K6" t="s">
        <v>141</v>
      </c>
      <c r="L6" t="s">
        <v>15</v>
      </c>
      <c r="M6" t="s">
        <v>14</v>
      </c>
      <c r="N6" t="s">
        <v>265</v>
      </c>
      <c r="O6">
        <v>12115340</v>
      </c>
      <c r="P6" t="s">
        <v>6</v>
      </c>
      <c r="Q6" t="s">
        <v>49</v>
      </c>
      <c r="R6">
        <v>50</v>
      </c>
      <c r="S6">
        <v>243</v>
      </c>
      <c r="T6" s="2">
        <v>12150</v>
      </c>
      <c r="U6">
        <v>0</v>
      </c>
      <c r="V6">
        <v>0</v>
      </c>
      <c r="W6" s="2">
        <v>2187</v>
      </c>
      <c r="X6">
        <v>0</v>
      </c>
      <c r="Y6">
        <v>0</v>
      </c>
      <c r="Z6" s="2">
        <v>14337</v>
      </c>
      <c r="AA6">
        <v>0</v>
      </c>
      <c r="AB6">
        <v>0</v>
      </c>
      <c r="AC6" s="2">
        <v>14337</v>
      </c>
      <c r="AD6" t="s">
        <v>38</v>
      </c>
    </row>
    <row r="7" spans="1:30" x14ac:dyDescent="0.35">
      <c r="A7">
        <v>5</v>
      </c>
      <c r="B7">
        <v>281466</v>
      </c>
      <c r="C7">
        <v>328012889</v>
      </c>
      <c r="D7" t="s">
        <v>266</v>
      </c>
      <c r="E7" t="s">
        <v>52</v>
      </c>
      <c r="F7" s="1">
        <v>46237</v>
      </c>
      <c r="G7" t="s">
        <v>100</v>
      </c>
      <c r="H7" t="s">
        <v>267</v>
      </c>
      <c r="I7" s="1">
        <v>46223</v>
      </c>
      <c r="J7" t="s">
        <v>142</v>
      </c>
      <c r="K7" t="s">
        <v>141</v>
      </c>
      <c r="L7" t="s">
        <v>19</v>
      </c>
      <c r="M7" t="s">
        <v>155</v>
      </c>
      <c r="N7" t="s">
        <v>101</v>
      </c>
      <c r="P7" t="s">
        <v>6</v>
      </c>
      <c r="Q7" t="s">
        <v>49</v>
      </c>
      <c r="R7">
        <v>525</v>
      </c>
      <c r="S7">
        <v>295.10000000000002</v>
      </c>
      <c r="T7" s="2">
        <v>154927.5</v>
      </c>
      <c r="U7">
        <v>0</v>
      </c>
      <c r="V7">
        <v>0</v>
      </c>
      <c r="W7" s="2">
        <v>27886.95</v>
      </c>
      <c r="X7">
        <v>0</v>
      </c>
      <c r="Y7">
        <v>0</v>
      </c>
      <c r="Z7" s="2">
        <v>182814.45</v>
      </c>
      <c r="AA7">
        <v>0</v>
      </c>
      <c r="AB7">
        <v>0</v>
      </c>
      <c r="AC7" s="2">
        <v>182814.45</v>
      </c>
      <c r="AD7" t="s">
        <v>38</v>
      </c>
    </row>
    <row r="8" spans="1:30" x14ac:dyDescent="0.35">
      <c r="A8">
        <v>6</v>
      </c>
      <c r="B8">
        <v>281467</v>
      </c>
      <c r="C8">
        <v>328012890</v>
      </c>
      <c r="D8" t="s">
        <v>268</v>
      </c>
      <c r="E8" t="s">
        <v>52</v>
      </c>
      <c r="F8" s="1">
        <v>46237</v>
      </c>
      <c r="G8" t="s">
        <v>269</v>
      </c>
      <c r="H8" t="s">
        <v>270</v>
      </c>
      <c r="I8" s="1">
        <v>46206</v>
      </c>
      <c r="J8" t="s">
        <v>142</v>
      </c>
      <c r="K8" t="s">
        <v>143</v>
      </c>
      <c r="L8" t="s">
        <v>12</v>
      </c>
      <c r="M8" t="s">
        <v>21</v>
      </c>
      <c r="N8" t="s">
        <v>271</v>
      </c>
      <c r="P8" t="s">
        <v>6</v>
      </c>
      <c r="Q8" t="s">
        <v>46</v>
      </c>
      <c r="R8">
        <v>100</v>
      </c>
      <c r="S8">
        <v>575.70000000000005</v>
      </c>
      <c r="T8" s="2">
        <v>57570</v>
      </c>
      <c r="U8">
        <v>0</v>
      </c>
      <c r="V8">
        <v>0</v>
      </c>
      <c r="W8" s="2">
        <v>10362.6</v>
      </c>
      <c r="X8">
        <v>0</v>
      </c>
      <c r="Y8">
        <v>0</v>
      </c>
      <c r="Z8" s="2">
        <v>67932.600000000006</v>
      </c>
      <c r="AA8">
        <v>0</v>
      </c>
      <c r="AB8">
        <v>0</v>
      </c>
      <c r="AC8" s="2">
        <v>67932.600000000006</v>
      </c>
      <c r="AD8" t="s">
        <v>38</v>
      </c>
    </row>
    <row r="9" spans="1:30" x14ac:dyDescent="0.35">
      <c r="A9">
        <v>7</v>
      </c>
      <c r="B9">
        <v>281470</v>
      </c>
      <c r="C9">
        <v>328012892</v>
      </c>
      <c r="D9" t="s">
        <v>272</v>
      </c>
      <c r="E9" t="s">
        <v>52</v>
      </c>
      <c r="F9" s="1">
        <v>46237</v>
      </c>
      <c r="G9" t="s">
        <v>273</v>
      </c>
      <c r="H9" t="s">
        <v>127</v>
      </c>
      <c r="I9" s="1">
        <v>46227</v>
      </c>
      <c r="J9" t="s">
        <v>142</v>
      </c>
      <c r="K9" t="s">
        <v>141</v>
      </c>
      <c r="L9" t="s">
        <v>11</v>
      </c>
      <c r="M9" t="s">
        <v>155</v>
      </c>
      <c r="N9" t="s">
        <v>274</v>
      </c>
      <c r="P9" t="s">
        <v>6</v>
      </c>
      <c r="Q9" t="s">
        <v>44</v>
      </c>
      <c r="R9">
        <v>20</v>
      </c>
      <c r="S9">
        <v>1.85</v>
      </c>
      <c r="T9">
        <v>37</v>
      </c>
      <c r="U9">
        <v>0</v>
      </c>
      <c r="V9">
        <v>0</v>
      </c>
      <c r="W9">
        <v>6.66</v>
      </c>
      <c r="X9">
        <v>0</v>
      </c>
      <c r="Y9">
        <v>0</v>
      </c>
      <c r="Z9">
        <v>43.66</v>
      </c>
      <c r="AA9">
        <v>0</v>
      </c>
      <c r="AB9">
        <v>0</v>
      </c>
      <c r="AC9">
        <v>43.66</v>
      </c>
      <c r="AD9" t="s">
        <v>38</v>
      </c>
    </row>
    <row r="10" spans="1:30" x14ac:dyDescent="0.35">
      <c r="A10">
        <v>8</v>
      </c>
      <c r="B10">
        <v>281470</v>
      </c>
      <c r="C10">
        <v>328012892</v>
      </c>
      <c r="D10" t="s">
        <v>272</v>
      </c>
      <c r="E10" t="s">
        <v>52</v>
      </c>
      <c r="F10" s="1">
        <v>46237</v>
      </c>
      <c r="G10" t="s">
        <v>273</v>
      </c>
      <c r="H10" t="s">
        <v>127</v>
      </c>
      <c r="I10" s="1">
        <v>46227</v>
      </c>
      <c r="J10" t="s">
        <v>142</v>
      </c>
      <c r="K10" t="s">
        <v>141</v>
      </c>
      <c r="L10" t="s">
        <v>11</v>
      </c>
      <c r="M10" t="s">
        <v>155</v>
      </c>
      <c r="N10" t="s">
        <v>275</v>
      </c>
      <c r="P10" t="s">
        <v>6</v>
      </c>
      <c r="Q10" t="s">
        <v>47</v>
      </c>
      <c r="R10">
        <v>30</v>
      </c>
      <c r="S10">
        <v>43.88</v>
      </c>
      <c r="T10" s="2">
        <v>1316.4</v>
      </c>
      <c r="U10">
        <v>0</v>
      </c>
      <c r="V10">
        <v>0</v>
      </c>
      <c r="W10">
        <v>236.952</v>
      </c>
      <c r="X10">
        <v>0</v>
      </c>
      <c r="Y10">
        <v>0</v>
      </c>
      <c r="Z10" s="2">
        <v>1553.3520000000001</v>
      </c>
      <c r="AA10">
        <v>0</v>
      </c>
      <c r="AB10">
        <v>0</v>
      </c>
      <c r="AC10" s="2">
        <v>1553.3520000000001</v>
      </c>
      <c r="AD10" t="s">
        <v>38</v>
      </c>
    </row>
    <row r="11" spans="1:30" x14ac:dyDescent="0.35">
      <c r="A11">
        <v>9</v>
      </c>
      <c r="B11">
        <v>281470</v>
      </c>
      <c r="C11">
        <v>328012892</v>
      </c>
      <c r="D11" t="s">
        <v>272</v>
      </c>
      <c r="E11" t="s">
        <v>52</v>
      </c>
      <c r="F11" s="1">
        <v>46237</v>
      </c>
      <c r="G11" t="s">
        <v>273</v>
      </c>
      <c r="H11" t="s">
        <v>127</v>
      </c>
      <c r="I11" s="1">
        <v>46227</v>
      </c>
      <c r="J11" t="s">
        <v>142</v>
      </c>
      <c r="K11" t="s">
        <v>141</v>
      </c>
      <c r="L11" t="s">
        <v>11</v>
      </c>
      <c r="M11" t="s">
        <v>155</v>
      </c>
      <c r="N11" t="s">
        <v>276</v>
      </c>
      <c r="P11" t="s">
        <v>6</v>
      </c>
      <c r="Q11" t="s">
        <v>44</v>
      </c>
      <c r="R11">
        <v>30</v>
      </c>
      <c r="S11">
        <v>2.58</v>
      </c>
      <c r="T11">
        <v>77.400000000000006</v>
      </c>
      <c r="U11">
        <v>0</v>
      </c>
      <c r="V11">
        <v>0</v>
      </c>
      <c r="W11">
        <v>13.932</v>
      </c>
      <c r="X11">
        <v>0</v>
      </c>
      <c r="Y11">
        <v>0</v>
      </c>
      <c r="Z11">
        <v>91.331999999999994</v>
      </c>
      <c r="AA11">
        <v>0</v>
      </c>
      <c r="AB11">
        <v>0</v>
      </c>
      <c r="AC11">
        <v>91.331999999999994</v>
      </c>
      <c r="AD11" t="s">
        <v>38</v>
      </c>
    </row>
    <row r="12" spans="1:30" x14ac:dyDescent="0.35">
      <c r="A12">
        <v>10</v>
      </c>
      <c r="B12">
        <v>281470</v>
      </c>
      <c r="C12">
        <v>328012892</v>
      </c>
      <c r="D12" t="s">
        <v>272</v>
      </c>
      <c r="E12" t="s">
        <v>52</v>
      </c>
      <c r="F12" s="1">
        <v>46237</v>
      </c>
      <c r="G12" t="s">
        <v>273</v>
      </c>
      <c r="H12" t="s">
        <v>127</v>
      </c>
      <c r="I12" s="1">
        <v>46227</v>
      </c>
      <c r="J12" t="s">
        <v>142</v>
      </c>
      <c r="K12" t="s">
        <v>141</v>
      </c>
      <c r="L12" t="s">
        <v>11</v>
      </c>
      <c r="M12" t="s">
        <v>155</v>
      </c>
      <c r="N12" t="s">
        <v>277</v>
      </c>
      <c r="P12" t="s">
        <v>6</v>
      </c>
      <c r="Q12" t="s">
        <v>44</v>
      </c>
      <c r="R12">
        <v>30</v>
      </c>
      <c r="S12">
        <v>1.85</v>
      </c>
      <c r="T12">
        <v>55.5</v>
      </c>
      <c r="U12">
        <v>0</v>
      </c>
      <c r="V12">
        <v>0</v>
      </c>
      <c r="W12">
        <v>9.99</v>
      </c>
      <c r="X12">
        <v>0</v>
      </c>
      <c r="Y12">
        <v>0</v>
      </c>
      <c r="Z12">
        <v>65.489999999999995</v>
      </c>
      <c r="AA12">
        <v>0</v>
      </c>
      <c r="AB12">
        <v>0</v>
      </c>
      <c r="AC12">
        <v>65.489999999999995</v>
      </c>
      <c r="AD12" t="s">
        <v>38</v>
      </c>
    </row>
    <row r="13" spans="1:30" x14ac:dyDescent="0.35">
      <c r="A13">
        <v>11</v>
      </c>
      <c r="B13">
        <v>281470</v>
      </c>
      <c r="C13">
        <v>328012892</v>
      </c>
      <c r="D13" t="s">
        <v>272</v>
      </c>
      <c r="E13" t="s">
        <v>52</v>
      </c>
      <c r="F13" s="1">
        <v>46237</v>
      </c>
      <c r="G13" t="s">
        <v>273</v>
      </c>
      <c r="H13" t="s">
        <v>127</v>
      </c>
      <c r="I13" s="1">
        <v>46227</v>
      </c>
      <c r="J13" t="s">
        <v>142</v>
      </c>
      <c r="K13" t="s">
        <v>141</v>
      </c>
      <c r="L13" t="s">
        <v>11</v>
      </c>
      <c r="M13" t="s">
        <v>155</v>
      </c>
      <c r="N13" t="s">
        <v>278</v>
      </c>
      <c r="P13" t="s">
        <v>6</v>
      </c>
      <c r="Q13" t="s">
        <v>44</v>
      </c>
      <c r="R13">
        <v>10</v>
      </c>
      <c r="S13">
        <v>2.06</v>
      </c>
      <c r="T13">
        <v>20.6</v>
      </c>
      <c r="U13">
        <v>0</v>
      </c>
      <c r="V13">
        <v>0</v>
      </c>
      <c r="W13">
        <v>3.7080000000000002</v>
      </c>
      <c r="X13">
        <v>0</v>
      </c>
      <c r="Y13">
        <v>0</v>
      </c>
      <c r="Z13">
        <v>24.308</v>
      </c>
      <c r="AA13">
        <v>0</v>
      </c>
      <c r="AB13">
        <v>0</v>
      </c>
      <c r="AC13">
        <v>24.308</v>
      </c>
      <c r="AD13" t="s">
        <v>38</v>
      </c>
    </row>
    <row r="14" spans="1:30" x14ac:dyDescent="0.35">
      <c r="A14">
        <v>12</v>
      </c>
      <c r="B14">
        <v>281470</v>
      </c>
      <c r="C14">
        <v>328012892</v>
      </c>
      <c r="D14" t="s">
        <v>272</v>
      </c>
      <c r="E14" t="s">
        <v>52</v>
      </c>
      <c r="F14" s="1">
        <v>46237</v>
      </c>
      <c r="G14" t="s">
        <v>273</v>
      </c>
      <c r="H14" t="s">
        <v>127</v>
      </c>
      <c r="I14" s="1">
        <v>46227</v>
      </c>
      <c r="J14" t="s">
        <v>142</v>
      </c>
      <c r="K14" t="s">
        <v>141</v>
      </c>
      <c r="L14" t="s">
        <v>11</v>
      </c>
      <c r="M14" t="s">
        <v>155</v>
      </c>
      <c r="N14" t="s">
        <v>279</v>
      </c>
      <c r="P14" t="s">
        <v>6</v>
      </c>
      <c r="Q14" t="s">
        <v>44</v>
      </c>
      <c r="R14">
        <v>10</v>
      </c>
      <c r="S14">
        <v>2.06</v>
      </c>
      <c r="T14">
        <v>20.6</v>
      </c>
      <c r="U14">
        <v>0</v>
      </c>
      <c r="V14">
        <v>0</v>
      </c>
      <c r="W14">
        <v>3.7080000000000002</v>
      </c>
      <c r="X14">
        <v>0</v>
      </c>
      <c r="Y14">
        <v>0</v>
      </c>
      <c r="Z14">
        <v>24.308</v>
      </c>
      <c r="AA14">
        <v>0</v>
      </c>
      <c r="AB14">
        <v>0</v>
      </c>
      <c r="AC14">
        <v>24.308</v>
      </c>
      <c r="AD14" t="s">
        <v>38</v>
      </c>
    </row>
    <row r="15" spans="1:30" x14ac:dyDescent="0.35">
      <c r="A15">
        <v>13</v>
      </c>
      <c r="B15">
        <v>281470</v>
      </c>
      <c r="C15">
        <v>328012892</v>
      </c>
      <c r="D15" t="s">
        <v>272</v>
      </c>
      <c r="E15" t="s">
        <v>52</v>
      </c>
      <c r="F15" s="1">
        <v>46237</v>
      </c>
      <c r="G15" t="s">
        <v>273</v>
      </c>
      <c r="H15" t="s">
        <v>127</v>
      </c>
      <c r="I15" s="1">
        <v>46227</v>
      </c>
      <c r="J15" t="s">
        <v>142</v>
      </c>
      <c r="K15" t="s">
        <v>141</v>
      </c>
      <c r="L15" t="s">
        <v>11</v>
      </c>
      <c r="M15" t="s">
        <v>155</v>
      </c>
      <c r="N15" t="s">
        <v>280</v>
      </c>
      <c r="P15" t="s">
        <v>6</v>
      </c>
      <c r="Q15" t="s">
        <v>44</v>
      </c>
      <c r="R15">
        <v>10</v>
      </c>
      <c r="S15">
        <v>2.06</v>
      </c>
      <c r="T15">
        <v>20.6</v>
      </c>
      <c r="U15">
        <v>0</v>
      </c>
      <c r="V15">
        <v>0</v>
      </c>
      <c r="W15">
        <v>3.7080000000000002</v>
      </c>
      <c r="X15">
        <v>0</v>
      </c>
      <c r="Y15">
        <v>0</v>
      </c>
      <c r="Z15">
        <v>24.308</v>
      </c>
      <c r="AA15">
        <v>0</v>
      </c>
      <c r="AB15">
        <v>0</v>
      </c>
      <c r="AC15">
        <v>24.308</v>
      </c>
      <c r="AD15" t="s">
        <v>38</v>
      </c>
    </row>
    <row r="16" spans="1:30" x14ac:dyDescent="0.35">
      <c r="A16">
        <v>14</v>
      </c>
      <c r="B16">
        <v>281470</v>
      </c>
      <c r="C16">
        <v>328012892</v>
      </c>
      <c r="D16" t="s">
        <v>272</v>
      </c>
      <c r="E16" t="s">
        <v>52</v>
      </c>
      <c r="F16" s="1">
        <v>46237</v>
      </c>
      <c r="G16" t="s">
        <v>273</v>
      </c>
      <c r="H16" t="s">
        <v>127</v>
      </c>
      <c r="I16" s="1">
        <v>46227</v>
      </c>
      <c r="J16" t="s">
        <v>142</v>
      </c>
      <c r="K16" t="s">
        <v>141</v>
      </c>
      <c r="L16" t="s">
        <v>11</v>
      </c>
      <c r="M16" t="s">
        <v>155</v>
      </c>
      <c r="N16" t="s">
        <v>281</v>
      </c>
      <c r="P16" t="s">
        <v>6</v>
      </c>
      <c r="Q16" t="s">
        <v>41</v>
      </c>
      <c r="R16">
        <v>10</v>
      </c>
      <c r="S16">
        <v>1.75</v>
      </c>
      <c r="T16">
        <v>17.5</v>
      </c>
      <c r="U16">
        <v>0</v>
      </c>
      <c r="V16">
        <v>0</v>
      </c>
      <c r="W16">
        <v>3.15</v>
      </c>
      <c r="X16">
        <v>0</v>
      </c>
      <c r="Y16">
        <v>0</v>
      </c>
      <c r="Z16">
        <v>20.65</v>
      </c>
      <c r="AA16">
        <v>0</v>
      </c>
      <c r="AB16">
        <v>0</v>
      </c>
      <c r="AC16">
        <v>20.65</v>
      </c>
      <c r="AD16" t="s">
        <v>38</v>
      </c>
    </row>
    <row r="17" spans="1:30" x14ac:dyDescent="0.35">
      <c r="A17">
        <v>15</v>
      </c>
      <c r="B17">
        <v>281470</v>
      </c>
      <c r="C17">
        <v>328012892</v>
      </c>
      <c r="D17" t="s">
        <v>272</v>
      </c>
      <c r="E17" t="s">
        <v>52</v>
      </c>
      <c r="F17" s="1">
        <v>46237</v>
      </c>
      <c r="G17" t="s">
        <v>273</v>
      </c>
      <c r="H17" t="s">
        <v>127</v>
      </c>
      <c r="I17" s="1">
        <v>46227</v>
      </c>
      <c r="J17" t="s">
        <v>142</v>
      </c>
      <c r="K17" t="s">
        <v>141</v>
      </c>
      <c r="L17" t="s">
        <v>11</v>
      </c>
      <c r="M17" t="s">
        <v>155</v>
      </c>
      <c r="N17" t="s">
        <v>282</v>
      </c>
      <c r="P17" t="s">
        <v>6</v>
      </c>
      <c r="Q17" t="s">
        <v>44</v>
      </c>
      <c r="R17">
        <v>10</v>
      </c>
      <c r="S17">
        <v>2.06</v>
      </c>
      <c r="T17">
        <v>20.6</v>
      </c>
      <c r="U17">
        <v>0</v>
      </c>
      <c r="V17">
        <v>0</v>
      </c>
      <c r="W17">
        <v>3.7080000000000002</v>
      </c>
      <c r="X17">
        <v>0</v>
      </c>
      <c r="Y17">
        <v>0</v>
      </c>
      <c r="Z17">
        <v>24.308</v>
      </c>
      <c r="AA17">
        <v>0</v>
      </c>
      <c r="AB17">
        <v>0</v>
      </c>
      <c r="AC17">
        <v>24.308</v>
      </c>
      <c r="AD17" t="s">
        <v>38</v>
      </c>
    </row>
    <row r="18" spans="1:30" x14ac:dyDescent="0.35">
      <c r="A18">
        <v>16</v>
      </c>
      <c r="B18">
        <v>281470</v>
      </c>
      <c r="C18">
        <v>328012892</v>
      </c>
      <c r="D18" t="s">
        <v>272</v>
      </c>
      <c r="E18" t="s">
        <v>52</v>
      </c>
      <c r="F18" s="1">
        <v>46237</v>
      </c>
      <c r="G18" t="s">
        <v>273</v>
      </c>
      <c r="H18" t="s">
        <v>127</v>
      </c>
      <c r="I18" s="1">
        <v>46227</v>
      </c>
      <c r="J18" t="s">
        <v>142</v>
      </c>
      <c r="K18" t="s">
        <v>141</v>
      </c>
      <c r="L18" t="s">
        <v>11</v>
      </c>
      <c r="M18" t="s">
        <v>155</v>
      </c>
      <c r="N18" t="s">
        <v>283</v>
      </c>
      <c r="P18" t="s">
        <v>6</v>
      </c>
      <c r="Q18" t="s">
        <v>44</v>
      </c>
      <c r="R18">
        <v>20</v>
      </c>
      <c r="S18">
        <v>2.06</v>
      </c>
      <c r="T18">
        <v>41.2</v>
      </c>
      <c r="U18">
        <v>0</v>
      </c>
      <c r="V18">
        <v>0</v>
      </c>
      <c r="W18">
        <v>7.4160000000000004</v>
      </c>
      <c r="X18">
        <v>0</v>
      </c>
      <c r="Y18">
        <v>0</v>
      </c>
      <c r="Z18">
        <v>48.616</v>
      </c>
      <c r="AA18">
        <v>0</v>
      </c>
      <c r="AB18">
        <v>0</v>
      </c>
      <c r="AC18">
        <v>48.616</v>
      </c>
      <c r="AD18" t="s">
        <v>38</v>
      </c>
    </row>
    <row r="19" spans="1:30" x14ac:dyDescent="0.35">
      <c r="A19">
        <v>17</v>
      </c>
      <c r="B19">
        <v>281470</v>
      </c>
      <c r="C19">
        <v>328012892</v>
      </c>
      <c r="D19" t="s">
        <v>272</v>
      </c>
      <c r="E19" t="s">
        <v>52</v>
      </c>
      <c r="F19" s="1">
        <v>46237</v>
      </c>
      <c r="G19" t="s">
        <v>273</v>
      </c>
      <c r="H19" t="s">
        <v>127</v>
      </c>
      <c r="I19" s="1">
        <v>46227</v>
      </c>
      <c r="J19" t="s">
        <v>142</v>
      </c>
      <c r="K19" t="s">
        <v>141</v>
      </c>
      <c r="L19" t="s">
        <v>11</v>
      </c>
      <c r="M19" t="s">
        <v>155</v>
      </c>
      <c r="N19" t="s">
        <v>284</v>
      </c>
      <c r="P19" t="s">
        <v>6</v>
      </c>
      <c r="Q19" t="s">
        <v>44</v>
      </c>
      <c r="R19">
        <v>120</v>
      </c>
      <c r="S19">
        <v>1.65</v>
      </c>
      <c r="T19">
        <v>198</v>
      </c>
      <c r="U19">
        <v>0</v>
      </c>
      <c r="V19">
        <v>0</v>
      </c>
      <c r="W19">
        <v>35.64</v>
      </c>
      <c r="X19">
        <v>0</v>
      </c>
      <c r="Y19">
        <v>0</v>
      </c>
      <c r="Z19">
        <v>233.64</v>
      </c>
      <c r="AA19">
        <v>0</v>
      </c>
      <c r="AB19">
        <v>0</v>
      </c>
      <c r="AC19">
        <v>233.64</v>
      </c>
      <c r="AD19" t="s">
        <v>38</v>
      </c>
    </row>
    <row r="20" spans="1:30" x14ac:dyDescent="0.35">
      <c r="A20">
        <v>18</v>
      </c>
      <c r="B20">
        <v>281471</v>
      </c>
      <c r="C20">
        <v>328012893</v>
      </c>
      <c r="D20" t="s">
        <v>285</v>
      </c>
      <c r="E20" t="s">
        <v>52</v>
      </c>
      <c r="F20" s="1">
        <v>46237</v>
      </c>
      <c r="G20" t="s">
        <v>286</v>
      </c>
      <c r="H20" t="s">
        <v>287</v>
      </c>
      <c r="I20" s="1">
        <v>46065</v>
      </c>
      <c r="J20" t="s">
        <v>142</v>
      </c>
      <c r="K20" t="s">
        <v>141</v>
      </c>
      <c r="L20" t="s">
        <v>19</v>
      </c>
      <c r="M20" t="s">
        <v>155</v>
      </c>
      <c r="N20" t="s">
        <v>288</v>
      </c>
      <c r="P20" t="s">
        <v>6</v>
      </c>
      <c r="Q20" t="s">
        <v>95</v>
      </c>
      <c r="R20">
        <v>50</v>
      </c>
      <c r="S20">
        <v>189</v>
      </c>
      <c r="T20" s="2">
        <v>9450</v>
      </c>
      <c r="U20">
        <v>0</v>
      </c>
      <c r="V20">
        <v>0</v>
      </c>
      <c r="W20" s="2">
        <v>1701</v>
      </c>
      <c r="X20">
        <v>0</v>
      </c>
      <c r="Y20">
        <v>0</v>
      </c>
      <c r="Z20" s="2">
        <v>11151</v>
      </c>
      <c r="AA20">
        <v>0</v>
      </c>
      <c r="AB20">
        <v>0</v>
      </c>
      <c r="AC20" s="2">
        <v>11151</v>
      </c>
      <c r="AD20" t="s">
        <v>38</v>
      </c>
    </row>
    <row r="21" spans="1:30" x14ac:dyDescent="0.35">
      <c r="A21">
        <v>19</v>
      </c>
      <c r="B21">
        <v>281471</v>
      </c>
      <c r="C21">
        <v>328012893</v>
      </c>
      <c r="D21" t="s">
        <v>285</v>
      </c>
      <c r="E21" t="s">
        <v>52</v>
      </c>
      <c r="F21" s="1">
        <v>46237</v>
      </c>
      <c r="G21" t="s">
        <v>286</v>
      </c>
      <c r="H21" t="s">
        <v>287</v>
      </c>
      <c r="I21" s="1">
        <v>46065</v>
      </c>
      <c r="J21" t="s">
        <v>142</v>
      </c>
      <c r="K21" t="s">
        <v>141</v>
      </c>
      <c r="L21" t="s">
        <v>19</v>
      </c>
      <c r="M21" t="s">
        <v>155</v>
      </c>
      <c r="N21" t="s">
        <v>289</v>
      </c>
      <c r="P21" t="s">
        <v>6</v>
      </c>
      <c r="Q21" t="s">
        <v>95</v>
      </c>
      <c r="R21">
        <v>50</v>
      </c>
      <c r="S21">
        <v>240.87</v>
      </c>
      <c r="T21" s="2">
        <v>12043.5</v>
      </c>
      <c r="U21">
        <v>0</v>
      </c>
      <c r="V21">
        <v>0</v>
      </c>
      <c r="W21" s="2">
        <v>2167.83</v>
      </c>
      <c r="X21">
        <v>0</v>
      </c>
      <c r="Y21">
        <v>0</v>
      </c>
      <c r="Z21" s="2">
        <v>14211.33</v>
      </c>
      <c r="AA21">
        <v>0</v>
      </c>
      <c r="AB21">
        <v>0</v>
      </c>
      <c r="AC21" s="2">
        <v>14211.33</v>
      </c>
      <c r="AD21" t="s">
        <v>38</v>
      </c>
    </row>
    <row r="22" spans="1:30" x14ac:dyDescent="0.35">
      <c r="A22">
        <v>20</v>
      </c>
      <c r="B22">
        <v>281473</v>
      </c>
      <c r="C22">
        <v>328012895</v>
      </c>
      <c r="D22" t="s">
        <v>290</v>
      </c>
      <c r="E22" t="s">
        <v>52</v>
      </c>
      <c r="F22" s="1">
        <v>46237</v>
      </c>
      <c r="G22" t="s">
        <v>42</v>
      </c>
      <c r="H22" t="s">
        <v>291</v>
      </c>
      <c r="I22" s="1">
        <v>46227</v>
      </c>
      <c r="J22" t="s">
        <v>142</v>
      </c>
      <c r="K22" t="s">
        <v>141</v>
      </c>
      <c r="L22" t="s">
        <v>91</v>
      </c>
      <c r="M22" t="s">
        <v>14</v>
      </c>
      <c r="N22" t="s">
        <v>292</v>
      </c>
      <c r="P22" t="s">
        <v>6</v>
      </c>
      <c r="Q22" t="s">
        <v>98</v>
      </c>
      <c r="R22">
        <v>2</v>
      </c>
      <c r="S22" s="2">
        <v>1892.75</v>
      </c>
      <c r="T22" s="2">
        <v>3785.5</v>
      </c>
      <c r="U22">
        <v>0</v>
      </c>
      <c r="V22">
        <v>0</v>
      </c>
      <c r="W22">
        <v>681.39</v>
      </c>
      <c r="X22">
        <v>0</v>
      </c>
      <c r="Y22">
        <v>0</v>
      </c>
      <c r="Z22" s="2">
        <v>4466.8900000000003</v>
      </c>
      <c r="AA22">
        <v>0</v>
      </c>
      <c r="AB22">
        <v>0</v>
      </c>
      <c r="AC22" s="2">
        <v>4466.8900000000003</v>
      </c>
      <c r="AD22" t="s">
        <v>38</v>
      </c>
    </row>
    <row r="23" spans="1:30" x14ac:dyDescent="0.35">
      <c r="A23">
        <v>21</v>
      </c>
      <c r="B23">
        <v>281473</v>
      </c>
      <c r="C23">
        <v>328012895</v>
      </c>
      <c r="D23" t="s">
        <v>290</v>
      </c>
      <c r="E23" t="s">
        <v>52</v>
      </c>
      <c r="F23" s="1">
        <v>46237</v>
      </c>
      <c r="G23" t="s">
        <v>42</v>
      </c>
      <c r="H23" t="s">
        <v>291</v>
      </c>
      <c r="I23" s="1">
        <v>46227</v>
      </c>
      <c r="J23" t="s">
        <v>142</v>
      </c>
      <c r="K23" t="s">
        <v>141</v>
      </c>
      <c r="L23" t="s">
        <v>91</v>
      </c>
      <c r="M23" t="s">
        <v>14</v>
      </c>
      <c r="N23" t="s">
        <v>293</v>
      </c>
      <c r="P23" t="s">
        <v>6</v>
      </c>
      <c r="Q23" t="s">
        <v>98</v>
      </c>
      <c r="R23">
        <v>4</v>
      </c>
      <c r="S23">
        <v>838.46</v>
      </c>
      <c r="T23" s="2">
        <v>3353.84</v>
      </c>
      <c r="U23">
        <v>0</v>
      </c>
      <c r="V23">
        <v>0</v>
      </c>
      <c r="W23">
        <v>603.69119999999998</v>
      </c>
      <c r="X23">
        <v>0</v>
      </c>
      <c r="Y23">
        <v>0</v>
      </c>
      <c r="Z23" s="2">
        <v>3957.5311999999999</v>
      </c>
      <c r="AA23">
        <v>0</v>
      </c>
      <c r="AB23">
        <v>0</v>
      </c>
      <c r="AC23" s="2">
        <v>3957.5311999999999</v>
      </c>
      <c r="AD23" t="s">
        <v>38</v>
      </c>
    </row>
    <row r="24" spans="1:30" x14ac:dyDescent="0.35">
      <c r="A24">
        <v>22</v>
      </c>
      <c r="B24">
        <v>281521</v>
      </c>
      <c r="C24">
        <v>328012921</v>
      </c>
      <c r="D24" t="s">
        <v>294</v>
      </c>
      <c r="E24" t="s">
        <v>52</v>
      </c>
      <c r="F24" s="1">
        <v>46238</v>
      </c>
      <c r="G24" t="s">
        <v>295</v>
      </c>
      <c r="H24" t="s">
        <v>296</v>
      </c>
      <c r="I24" s="1">
        <v>46223</v>
      </c>
      <c r="J24" t="s">
        <v>142</v>
      </c>
      <c r="K24" t="s">
        <v>143</v>
      </c>
      <c r="L24" t="s">
        <v>12</v>
      </c>
      <c r="M24" t="s">
        <v>21</v>
      </c>
      <c r="N24" t="s">
        <v>297</v>
      </c>
      <c r="P24" t="s">
        <v>6</v>
      </c>
      <c r="Q24" t="s">
        <v>78</v>
      </c>
      <c r="R24">
        <v>50</v>
      </c>
      <c r="S24">
        <v>55.9</v>
      </c>
      <c r="T24" s="2">
        <v>2795</v>
      </c>
      <c r="U24">
        <v>0</v>
      </c>
      <c r="V24">
        <v>0</v>
      </c>
      <c r="W24">
        <v>503.1</v>
      </c>
      <c r="X24">
        <v>0</v>
      </c>
      <c r="Y24">
        <v>0</v>
      </c>
      <c r="Z24" s="2">
        <v>3298.1</v>
      </c>
      <c r="AA24">
        <v>0</v>
      </c>
      <c r="AB24">
        <v>0</v>
      </c>
      <c r="AC24" s="2">
        <v>3298.1</v>
      </c>
      <c r="AD24" t="s">
        <v>38</v>
      </c>
    </row>
    <row r="25" spans="1:30" x14ac:dyDescent="0.35">
      <c r="A25">
        <v>23</v>
      </c>
      <c r="B25">
        <v>281586</v>
      </c>
      <c r="C25">
        <v>328012967</v>
      </c>
      <c r="D25" t="s">
        <v>298</v>
      </c>
      <c r="E25" t="s">
        <v>52</v>
      </c>
      <c r="F25" s="1">
        <v>46238</v>
      </c>
      <c r="G25" t="s">
        <v>48</v>
      </c>
      <c r="H25">
        <v>4000009978</v>
      </c>
      <c r="I25" s="1">
        <v>46226</v>
      </c>
      <c r="J25" t="s">
        <v>142</v>
      </c>
      <c r="K25" t="s">
        <v>141</v>
      </c>
      <c r="L25" t="s">
        <v>15</v>
      </c>
      <c r="M25" t="s">
        <v>14</v>
      </c>
      <c r="N25" t="s">
        <v>299</v>
      </c>
      <c r="O25">
        <v>12104403</v>
      </c>
      <c r="P25" t="s">
        <v>6</v>
      </c>
      <c r="Q25" t="s">
        <v>300</v>
      </c>
      <c r="R25">
        <v>80</v>
      </c>
      <c r="S25">
        <v>62.15</v>
      </c>
      <c r="T25" s="2">
        <v>4972</v>
      </c>
      <c r="U25">
        <v>0</v>
      </c>
      <c r="V25">
        <v>0</v>
      </c>
      <c r="W25">
        <v>894.96</v>
      </c>
      <c r="X25">
        <v>0</v>
      </c>
      <c r="Y25">
        <v>0</v>
      </c>
      <c r="Z25" s="2">
        <v>5866.96</v>
      </c>
      <c r="AA25">
        <v>0</v>
      </c>
      <c r="AB25">
        <v>0</v>
      </c>
      <c r="AC25" s="2">
        <v>5866.96</v>
      </c>
      <c r="AD25" t="s">
        <v>38</v>
      </c>
    </row>
    <row r="26" spans="1:30" x14ac:dyDescent="0.35">
      <c r="A26">
        <v>24</v>
      </c>
      <c r="B26">
        <v>281587</v>
      </c>
      <c r="C26">
        <v>328012968</v>
      </c>
      <c r="D26" t="s">
        <v>301</v>
      </c>
      <c r="E26" t="s">
        <v>52</v>
      </c>
      <c r="F26" s="1">
        <v>46238</v>
      </c>
      <c r="G26" t="s">
        <v>50</v>
      </c>
      <c r="H26">
        <v>14123984</v>
      </c>
      <c r="I26" s="1">
        <v>46225</v>
      </c>
      <c r="J26" t="s">
        <v>142</v>
      </c>
      <c r="K26" t="s">
        <v>141</v>
      </c>
      <c r="L26" t="s">
        <v>15</v>
      </c>
      <c r="M26" t="s">
        <v>14</v>
      </c>
      <c r="N26" t="s">
        <v>302</v>
      </c>
      <c r="O26">
        <v>10310282</v>
      </c>
      <c r="P26" t="s">
        <v>6</v>
      </c>
      <c r="Q26" t="s">
        <v>303</v>
      </c>
      <c r="R26">
        <v>10</v>
      </c>
      <c r="S26" s="2">
        <v>5725.71</v>
      </c>
      <c r="T26" s="2">
        <v>57257.1</v>
      </c>
      <c r="U26">
        <v>0</v>
      </c>
      <c r="V26">
        <v>0</v>
      </c>
      <c r="W26" s="2">
        <v>10306.278</v>
      </c>
      <c r="X26">
        <v>0</v>
      </c>
      <c r="Y26">
        <v>0</v>
      </c>
      <c r="Z26" s="2">
        <v>67563.377999999997</v>
      </c>
      <c r="AA26">
        <v>0</v>
      </c>
      <c r="AB26">
        <v>0</v>
      </c>
      <c r="AC26" s="2">
        <v>67563.377999999997</v>
      </c>
      <c r="AD26" t="s">
        <v>38</v>
      </c>
    </row>
    <row r="27" spans="1:30" x14ac:dyDescent="0.35">
      <c r="A27">
        <v>25</v>
      </c>
      <c r="B27">
        <v>281588</v>
      </c>
      <c r="C27">
        <v>328012969</v>
      </c>
      <c r="D27" t="s">
        <v>304</v>
      </c>
      <c r="E27" t="s">
        <v>52</v>
      </c>
      <c r="F27" s="1">
        <v>46238</v>
      </c>
      <c r="G27" t="s">
        <v>79</v>
      </c>
      <c r="H27">
        <v>901853352</v>
      </c>
      <c r="I27" s="1">
        <v>46231</v>
      </c>
      <c r="J27" t="s">
        <v>142</v>
      </c>
      <c r="K27" t="s">
        <v>141</v>
      </c>
      <c r="L27" t="s">
        <v>80</v>
      </c>
      <c r="M27" t="s">
        <v>14</v>
      </c>
      <c r="N27" t="s">
        <v>305</v>
      </c>
      <c r="O27" t="s">
        <v>444</v>
      </c>
      <c r="P27" t="s">
        <v>6</v>
      </c>
      <c r="Q27" t="s">
        <v>44</v>
      </c>
      <c r="R27" s="2">
        <v>5000</v>
      </c>
      <c r="S27">
        <v>39.78</v>
      </c>
      <c r="T27" s="2">
        <v>198900</v>
      </c>
      <c r="U27">
        <v>0</v>
      </c>
      <c r="V27">
        <v>0</v>
      </c>
      <c r="W27" s="2">
        <v>35802</v>
      </c>
      <c r="X27">
        <v>0</v>
      </c>
      <c r="Y27">
        <v>0</v>
      </c>
      <c r="Z27" s="2">
        <v>234702</v>
      </c>
      <c r="AA27">
        <v>0</v>
      </c>
      <c r="AB27">
        <v>0</v>
      </c>
      <c r="AC27" s="2">
        <v>234702</v>
      </c>
      <c r="AD27" t="s">
        <v>38</v>
      </c>
    </row>
    <row r="28" spans="1:30" x14ac:dyDescent="0.35">
      <c r="A28">
        <v>26</v>
      </c>
      <c r="B28">
        <v>281669</v>
      </c>
      <c r="C28">
        <v>328013028</v>
      </c>
      <c r="D28" t="s">
        <v>306</v>
      </c>
      <c r="E28" t="s">
        <v>52</v>
      </c>
      <c r="F28" s="1">
        <v>46239</v>
      </c>
      <c r="G28" t="s">
        <v>254</v>
      </c>
      <c r="H28">
        <v>210015014</v>
      </c>
      <c r="I28" s="1">
        <v>46223</v>
      </c>
      <c r="J28" t="s">
        <v>142</v>
      </c>
      <c r="K28" t="s">
        <v>141</v>
      </c>
      <c r="L28" t="s">
        <v>80</v>
      </c>
      <c r="M28" t="s">
        <v>24</v>
      </c>
      <c r="N28" t="s">
        <v>307</v>
      </c>
      <c r="P28" t="s">
        <v>6</v>
      </c>
      <c r="Q28" t="s">
        <v>43</v>
      </c>
      <c r="R28">
        <v>5</v>
      </c>
      <c r="S28">
        <v>865.98</v>
      </c>
      <c r="T28" s="2">
        <v>4329.8999999999996</v>
      </c>
      <c r="U28">
        <v>0</v>
      </c>
      <c r="V28">
        <v>0</v>
      </c>
      <c r="W28">
        <v>779.38199999999995</v>
      </c>
      <c r="X28">
        <v>0</v>
      </c>
      <c r="Y28">
        <v>0</v>
      </c>
      <c r="Z28" s="2">
        <v>5109.2820000000002</v>
      </c>
      <c r="AA28">
        <v>0</v>
      </c>
      <c r="AB28">
        <v>0</v>
      </c>
      <c r="AC28" s="2">
        <v>5109.2820000000002</v>
      </c>
      <c r="AD28" t="s">
        <v>38</v>
      </c>
    </row>
    <row r="29" spans="1:30" x14ac:dyDescent="0.35">
      <c r="A29">
        <v>27</v>
      </c>
      <c r="B29">
        <v>281710</v>
      </c>
      <c r="C29">
        <v>328013066</v>
      </c>
      <c r="D29" t="s">
        <v>308</v>
      </c>
      <c r="E29" t="s">
        <v>52</v>
      </c>
      <c r="F29" s="1">
        <v>46239</v>
      </c>
      <c r="G29" t="s">
        <v>123</v>
      </c>
      <c r="H29" t="s">
        <v>309</v>
      </c>
      <c r="I29" s="1">
        <v>46227</v>
      </c>
      <c r="J29" t="s">
        <v>142</v>
      </c>
      <c r="K29" t="s">
        <v>141</v>
      </c>
      <c r="L29" t="s">
        <v>12</v>
      </c>
      <c r="M29" t="s">
        <v>25</v>
      </c>
      <c r="N29" t="s">
        <v>310</v>
      </c>
      <c r="P29" t="s">
        <v>6</v>
      </c>
      <c r="Q29" t="s">
        <v>146</v>
      </c>
      <c r="R29">
        <v>10</v>
      </c>
      <c r="S29">
        <v>210.12</v>
      </c>
      <c r="T29" s="2">
        <v>2101.1999999999998</v>
      </c>
      <c r="U29">
        <v>0</v>
      </c>
      <c r="V29">
        <v>0</v>
      </c>
      <c r="W29">
        <v>378.21600000000001</v>
      </c>
      <c r="X29">
        <v>0</v>
      </c>
      <c r="Y29">
        <v>0</v>
      </c>
      <c r="Z29" s="2">
        <v>2479.4160000000002</v>
      </c>
      <c r="AA29">
        <v>0</v>
      </c>
      <c r="AB29">
        <v>0</v>
      </c>
      <c r="AC29" s="2">
        <v>2479.4160000000002</v>
      </c>
      <c r="AD29" t="s">
        <v>38</v>
      </c>
    </row>
    <row r="30" spans="1:30" x14ac:dyDescent="0.35">
      <c r="A30">
        <v>28</v>
      </c>
      <c r="B30">
        <v>281712</v>
      </c>
      <c r="C30">
        <v>328013068</v>
      </c>
      <c r="D30" t="s">
        <v>311</v>
      </c>
      <c r="E30" t="s">
        <v>52</v>
      </c>
      <c r="F30" s="1">
        <v>46239</v>
      </c>
      <c r="G30" t="s">
        <v>312</v>
      </c>
      <c r="H30">
        <v>723</v>
      </c>
      <c r="I30" s="1">
        <v>46226</v>
      </c>
      <c r="J30" t="s">
        <v>142</v>
      </c>
      <c r="K30" t="s">
        <v>141</v>
      </c>
      <c r="L30" t="s">
        <v>51</v>
      </c>
      <c r="M30" t="s">
        <v>14</v>
      </c>
      <c r="N30" t="s">
        <v>313</v>
      </c>
      <c r="P30" t="s">
        <v>6</v>
      </c>
      <c r="Q30" t="s">
        <v>314</v>
      </c>
      <c r="R30">
        <v>100</v>
      </c>
      <c r="S30" s="2">
        <v>1268.99</v>
      </c>
      <c r="T30" s="2">
        <v>126899</v>
      </c>
      <c r="U30">
        <v>0</v>
      </c>
      <c r="V30">
        <v>0</v>
      </c>
      <c r="W30" s="2">
        <v>22841.82</v>
      </c>
      <c r="X30">
        <v>0</v>
      </c>
      <c r="Y30">
        <v>0</v>
      </c>
      <c r="Z30" s="2">
        <v>149740.82</v>
      </c>
      <c r="AA30">
        <v>0</v>
      </c>
      <c r="AB30">
        <v>0</v>
      </c>
      <c r="AC30" s="2">
        <v>149740.82</v>
      </c>
      <c r="AD3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0368-710F-4791-BA3D-51DC031F333C}">
  <dimension ref="A1:AB71"/>
  <sheetViews>
    <sheetView workbookViewId="0">
      <selection activeCell="B2" sqref="B2"/>
    </sheetView>
  </sheetViews>
  <sheetFormatPr defaultRowHeight="14.5" x14ac:dyDescent="0.35"/>
  <cols>
    <col min="1" max="1" width="14" bestFit="1" customWidth="1"/>
    <col min="2" max="2" width="14.7265625" bestFit="1" customWidth="1"/>
    <col min="3" max="3" width="28.81640625" bestFit="1" customWidth="1"/>
    <col min="4" max="4" width="25.81640625" bestFit="1" customWidth="1"/>
    <col min="5" max="5" width="13.7265625" bestFit="1" customWidth="1"/>
    <col min="6" max="7" width="54.453125" bestFit="1" customWidth="1"/>
    <col min="8" max="8" width="20.36328125" bestFit="1" customWidth="1"/>
    <col min="9" max="9" width="24.1796875" bestFit="1" customWidth="1"/>
    <col min="10" max="10" width="19" bestFit="1" customWidth="1"/>
    <col min="11" max="11" width="11.1796875" bestFit="1" customWidth="1"/>
    <col min="12" max="12" width="13.1796875" bestFit="1" customWidth="1"/>
    <col min="13" max="13" width="17.54296875" bestFit="1" customWidth="1"/>
    <col min="14" max="14" width="29.7265625" bestFit="1" customWidth="1"/>
    <col min="15" max="15" width="27.6328125" bestFit="1" customWidth="1"/>
    <col min="16" max="16" width="14.54296875" bestFit="1" customWidth="1"/>
    <col min="17" max="17" width="15.1796875" bestFit="1" customWidth="1"/>
    <col min="18" max="18" width="8" bestFit="1" customWidth="1"/>
    <col min="19" max="19" width="13.26953125" bestFit="1" customWidth="1"/>
    <col min="20" max="20" width="13.6328125" bestFit="1" customWidth="1"/>
    <col min="21" max="21" width="12.90625" bestFit="1" customWidth="1"/>
    <col min="22" max="22" width="14.7265625" bestFit="1" customWidth="1"/>
    <col min="23" max="23" width="15.08984375" bestFit="1" customWidth="1"/>
    <col min="24" max="24" width="21.90625" bestFit="1" customWidth="1"/>
    <col min="25" max="25" width="15.1796875" bestFit="1" customWidth="1"/>
    <col min="26" max="26" width="15.08984375" bestFit="1" customWidth="1"/>
    <col min="27" max="27" width="14" bestFit="1" customWidth="1"/>
    <col min="28" max="28" width="55.1796875" bestFit="1" customWidth="1"/>
  </cols>
  <sheetData>
    <row r="1" spans="1:28" x14ac:dyDescent="0.35">
      <c r="W1">
        <f>SUBTOTAL(9,W3:W71)</f>
        <v>338980.93</v>
      </c>
    </row>
    <row r="2" spans="1:28" x14ac:dyDescent="0.35">
      <c r="A2" t="s">
        <v>353</v>
      </c>
      <c r="B2" t="s">
        <v>29</v>
      </c>
      <c r="C2" t="s">
        <v>157</v>
      </c>
      <c r="D2" t="s">
        <v>315</v>
      </c>
      <c r="E2" t="s">
        <v>66</v>
      </c>
      <c r="F2" t="s">
        <v>2</v>
      </c>
      <c r="G2" t="s">
        <v>316</v>
      </c>
      <c r="H2" t="s">
        <v>354</v>
      </c>
      <c r="I2" t="s">
        <v>355</v>
      </c>
      <c r="J2" t="s">
        <v>158</v>
      </c>
      <c r="K2" t="s">
        <v>115</v>
      </c>
      <c r="L2" t="s">
        <v>159</v>
      </c>
      <c r="M2" t="s">
        <v>116</v>
      </c>
      <c r="N2" t="s">
        <v>67</v>
      </c>
      <c r="O2" t="s">
        <v>160</v>
      </c>
      <c r="P2" t="s">
        <v>5</v>
      </c>
      <c r="Q2" t="s">
        <v>28</v>
      </c>
      <c r="R2" t="s">
        <v>7</v>
      </c>
      <c r="S2" t="s">
        <v>161</v>
      </c>
      <c r="T2" t="s">
        <v>162</v>
      </c>
      <c r="U2" t="s">
        <v>121</v>
      </c>
      <c r="V2" t="s">
        <v>104</v>
      </c>
      <c r="W2" t="s">
        <v>68</v>
      </c>
      <c r="X2" t="s">
        <v>69</v>
      </c>
      <c r="Y2" t="s">
        <v>70</v>
      </c>
      <c r="Z2" t="s">
        <v>117</v>
      </c>
      <c r="AA2" t="s">
        <v>163</v>
      </c>
      <c r="AB2" t="s">
        <v>105</v>
      </c>
    </row>
    <row r="3" spans="1:28" x14ac:dyDescent="0.35">
      <c r="A3" t="s">
        <v>356</v>
      </c>
      <c r="B3">
        <v>22892</v>
      </c>
      <c r="C3">
        <v>345101286</v>
      </c>
      <c r="D3" s="1">
        <v>46238</v>
      </c>
      <c r="E3" t="s">
        <v>75</v>
      </c>
      <c r="F3" t="s">
        <v>58</v>
      </c>
      <c r="G3" t="s">
        <v>58</v>
      </c>
      <c r="H3" t="s">
        <v>357</v>
      </c>
      <c r="I3" t="s">
        <v>358</v>
      </c>
      <c r="J3">
        <v>310230139533</v>
      </c>
      <c r="K3" s="1">
        <v>46237</v>
      </c>
      <c r="L3" s="1">
        <v>46238</v>
      </c>
      <c r="M3" t="s">
        <v>106</v>
      </c>
      <c r="N3" t="s">
        <v>317</v>
      </c>
      <c r="O3" t="s">
        <v>318</v>
      </c>
      <c r="P3" t="s">
        <v>56</v>
      </c>
      <c r="Q3" t="s">
        <v>57</v>
      </c>
      <c r="R3">
        <v>800</v>
      </c>
      <c r="S3">
        <v>2.6669999999999998</v>
      </c>
      <c r="T3">
        <v>2133.6</v>
      </c>
      <c r="U3">
        <v>1</v>
      </c>
      <c r="V3">
        <v>2.6669999999999998</v>
      </c>
      <c r="W3">
        <v>2133.6</v>
      </c>
      <c r="X3" t="s">
        <v>80</v>
      </c>
      <c r="Y3" t="s">
        <v>17</v>
      </c>
      <c r="Z3" t="s">
        <v>118</v>
      </c>
      <c r="AA3">
        <v>341002560</v>
      </c>
      <c r="AB3" t="s">
        <v>164</v>
      </c>
    </row>
    <row r="4" spans="1:28" x14ac:dyDescent="0.35">
      <c r="A4" t="s">
        <v>356</v>
      </c>
      <c r="B4">
        <v>22860</v>
      </c>
      <c r="C4">
        <v>345101270</v>
      </c>
      <c r="D4" s="1">
        <v>46239</v>
      </c>
      <c r="E4" t="s">
        <v>71</v>
      </c>
      <c r="F4" t="s">
        <v>165</v>
      </c>
      <c r="G4" t="s">
        <v>45</v>
      </c>
      <c r="H4" t="s">
        <v>357</v>
      </c>
      <c r="I4" t="s">
        <v>358</v>
      </c>
      <c r="J4">
        <v>4190084144</v>
      </c>
      <c r="K4" s="1">
        <v>46234</v>
      </c>
      <c r="L4" s="1">
        <v>46239</v>
      </c>
      <c r="M4" t="s">
        <v>106</v>
      </c>
      <c r="N4" t="s">
        <v>73</v>
      </c>
      <c r="O4" t="s">
        <v>166</v>
      </c>
      <c r="P4" t="s">
        <v>61</v>
      </c>
      <c r="Q4" t="s">
        <v>57</v>
      </c>
      <c r="R4">
        <v>250</v>
      </c>
      <c r="S4">
        <v>1.93</v>
      </c>
      <c r="T4">
        <v>482.5</v>
      </c>
      <c r="U4">
        <v>1</v>
      </c>
      <c r="V4">
        <v>1.93</v>
      </c>
      <c r="W4">
        <v>482.5</v>
      </c>
      <c r="X4" t="s">
        <v>13</v>
      </c>
      <c r="Y4" t="s">
        <v>25</v>
      </c>
      <c r="Z4" t="s">
        <v>118</v>
      </c>
      <c r="AA4">
        <v>341002601</v>
      </c>
      <c r="AB4" t="s">
        <v>344</v>
      </c>
    </row>
    <row r="5" spans="1:28" x14ac:dyDescent="0.35">
      <c r="A5" t="s">
        <v>356</v>
      </c>
      <c r="B5">
        <v>22860</v>
      </c>
      <c r="C5">
        <v>345101270</v>
      </c>
      <c r="D5" s="1">
        <v>46239</v>
      </c>
      <c r="E5" t="s">
        <v>71</v>
      </c>
      <c r="F5" t="s">
        <v>165</v>
      </c>
      <c r="G5" t="s">
        <v>45</v>
      </c>
      <c r="H5" t="s">
        <v>357</v>
      </c>
      <c r="I5" t="s">
        <v>358</v>
      </c>
      <c r="J5">
        <v>4190085015</v>
      </c>
      <c r="K5" s="1">
        <v>46234</v>
      </c>
      <c r="L5" s="1">
        <v>46239</v>
      </c>
      <c r="M5" t="s">
        <v>106</v>
      </c>
      <c r="N5" t="s">
        <v>73</v>
      </c>
      <c r="O5" t="s">
        <v>166</v>
      </c>
      <c r="P5" t="s">
        <v>61</v>
      </c>
      <c r="Q5" t="s">
        <v>57</v>
      </c>
      <c r="R5">
        <v>15000</v>
      </c>
      <c r="S5">
        <v>1.93</v>
      </c>
      <c r="T5">
        <v>28950</v>
      </c>
      <c r="U5">
        <v>1</v>
      </c>
      <c r="V5">
        <v>1.93</v>
      </c>
      <c r="W5">
        <v>28950</v>
      </c>
      <c r="X5" t="s">
        <v>13</v>
      </c>
      <c r="Y5" t="s">
        <v>25</v>
      </c>
      <c r="Z5" t="s">
        <v>118</v>
      </c>
      <c r="AA5">
        <v>341002979</v>
      </c>
      <c r="AB5" t="s">
        <v>344</v>
      </c>
    </row>
    <row r="6" spans="1:28" x14ac:dyDescent="0.35">
      <c r="A6" t="s">
        <v>356</v>
      </c>
      <c r="B6">
        <v>22860</v>
      </c>
      <c r="C6">
        <v>345101270</v>
      </c>
      <c r="D6" s="1">
        <v>46239</v>
      </c>
      <c r="E6" t="s">
        <v>71</v>
      </c>
      <c r="F6" t="s">
        <v>165</v>
      </c>
      <c r="G6" t="s">
        <v>45</v>
      </c>
      <c r="H6" t="s">
        <v>357</v>
      </c>
      <c r="I6" t="s">
        <v>358</v>
      </c>
      <c r="J6">
        <v>4190085015</v>
      </c>
      <c r="K6" s="1">
        <v>46234</v>
      </c>
      <c r="L6" s="1">
        <v>46239</v>
      </c>
      <c r="M6" t="s">
        <v>106</v>
      </c>
      <c r="N6" t="s">
        <v>73</v>
      </c>
      <c r="O6" t="s">
        <v>166</v>
      </c>
      <c r="P6" t="s">
        <v>61</v>
      </c>
      <c r="Q6" t="s">
        <v>57</v>
      </c>
      <c r="R6">
        <v>4500</v>
      </c>
      <c r="S6">
        <v>1.93</v>
      </c>
      <c r="T6">
        <v>8685</v>
      </c>
      <c r="U6">
        <v>1</v>
      </c>
      <c r="V6">
        <v>1.93</v>
      </c>
      <c r="W6">
        <v>8685</v>
      </c>
      <c r="X6" t="s">
        <v>13</v>
      </c>
      <c r="Y6" t="s">
        <v>25</v>
      </c>
      <c r="Z6" t="s">
        <v>118</v>
      </c>
      <c r="AA6">
        <v>341002979</v>
      </c>
      <c r="AB6" t="s">
        <v>344</v>
      </c>
    </row>
    <row r="7" spans="1:28" x14ac:dyDescent="0.35">
      <c r="A7" t="s">
        <v>356</v>
      </c>
      <c r="B7">
        <v>22860</v>
      </c>
      <c r="C7">
        <v>345101270</v>
      </c>
      <c r="D7" s="1">
        <v>46239</v>
      </c>
      <c r="E7" t="s">
        <v>71</v>
      </c>
      <c r="F7" t="s">
        <v>165</v>
      </c>
      <c r="G7" t="s">
        <v>45</v>
      </c>
      <c r="H7" t="s">
        <v>357</v>
      </c>
      <c r="I7" t="s">
        <v>358</v>
      </c>
      <c r="J7">
        <v>4190089494</v>
      </c>
      <c r="K7" s="1">
        <v>46234</v>
      </c>
      <c r="L7" s="1">
        <v>46239</v>
      </c>
      <c r="M7" t="s">
        <v>106</v>
      </c>
      <c r="N7" t="s">
        <v>109</v>
      </c>
      <c r="O7" t="s">
        <v>168</v>
      </c>
      <c r="P7" t="s">
        <v>108</v>
      </c>
      <c r="Q7" t="s">
        <v>55</v>
      </c>
      <c r="R7">
        <v>6000</v>
      </c>
      <c r="S7">
        <v>6.8000000000000005E-2</v>
      </c>
      <c r="T7">
        <v>408</v>
      </c>
      <c r="U7">
        <v>1</v>
      </c>
      <c r="V7">
        <v>6.8000000000000005E-2</v>
      </c>
      <c r="W7">
        <v>408</v>
      </c>
      <c r="X7" t="s">
        <v>13</v>
      </c>
      <c r="Y7" t="s">
        <v>25</v>
      </c>
      <c r="Z7" t="s">
        <v>118</v>
      </c>
      <c r="AA7">
        <v>342000744</v>
      </c>
      <c r="AB7" t="s">
        <v>344</v>
      </c>
    </row>
    <row r="8" spans="1:28" x14ac:dyDescent="0.35">
      <c r="A8" t="s">
        <v>356</v>
      </c>
      <c r="B8">
        <v>22811</v>
      </c>
      <c r="C8">
        <v>345101241</v>
      </c>
      <c r="D8" s="1">
        <v>46239</v>
      </c>
      <c r="E8" t="s">
        <v>327</v>
      </c>
      <c r="F8" t="s">
        <v>328</v>
      </c>
      <c r="G8" t="s">
        <v>120</v>
      </c>
      <c r="H8" t="s">
        <v>359</v>
      </c>
      <c r="I8" t="s">
        <v>359</v>
      </c>
      <c r="J8" t="s">
        <v>345</v>
      </c>
      <c r="K8" s="1">
        <v>46233</v>
      </c>
      <c r="L8" s="1">
        <v>46239</v>
      </c>
      <c r="M8" t="s">
        <v>106</v>
      </c>
      <c r="N8" t="s">
        <v>346</v>
      </c>
      <c r="O8">
        <v>9983510275</v>
      </c>
      <c r="P8" t="s">
        <v>39</v>
      </c>
      <c r="Q8" t="s">
        <v>55</v>
      </c>
      <c r="R8">
        <v>6000</v>
      </c>
      <c r="S8">
        <v>0.16</v>
      </c>
      <c r="T8">
        <v>960</v>
      </c>
      <c r="U8">
        <v>1</v>
      </c>
      <c r="V8">
        <v>0.16</v>
      </c>
      <c r="W8">
        <v>960</v>
      </c>
      <c r="X8" t="s">
        <v>11</v>
      </c>
      <c r="Y8" t="s">
        <v>14</v>
      </c>
      <c r="Z8" t="s">
        <v>118</v>
      </c>
      <c r="AA8">
        <v>341003529</v>
      </c>
      <c r="AB8" t="s">
        <v>164</v>
      </c>
    </row>
    <row r="9" spans="1:28" x14ac:dyDescent="0.35">
      <c r="A9" t="s">
        <v>356</v>
      </c>
      <c r="B9">
        <v>22708</v>
      </c>
      <c r="C9">
        <v>345101177</v>
      </c>
      <c r="D9" s="1">
        <v>46240</v>
      </c>
      <c r="E9" t="s">
        <v>360</v>
      </c>
      <c r="F9" t="s">
        <v>361</v>
      </c>
      <c r="G9" t="s">
        <v>361</v>
      </c>
      <c r="H9" t="s">
        <v>362</v>
      </c>
      <c r="I9" t="s">
        <v>363</v>
      </c>
      <c r="J9" t="s">
        <v>364</v>
      </c>
      <c r="K9" s="1">
        <v>46230</v>
      </c>
      <c r="L9" s="1">
        <v>46240</v>
      </c>
      <c r="M9" t="s">
        <v>106</v>
      </c>
      <c r="N9" t="s">
        <v>93</v>
      </c>
      <c r="O9" t="s">
        <v>365</v>
      </c>
      <c r="P9" t="s">
        <v>56</v>
      </c>
      <c r="Q9" t="s">
        <v>57</v>
      </c>
      <c r="R9">
        <v>5000</v>
      </c>
      <c r="S9">
        <v>0.3</v>
      </c>
      <c r="T9">
        <v>1500</v>
      </c>
      <c r="U9">
        <v>1</v>
      </c>
      <c r="V9">
        <v>0.3</v>
      </c>
      <c r="W9">
        <v>1500</v>
      </c>
      <c r="X9" t="s">
        <v>18</v>
      </c>
      <c r="Y9" t="s">
        <v>25</v>
      </c>
      <c r="Z9" t="s">
        <v>118</v>
      </c>
      <c r="AA9">
        <v>341002009</v>
      </c>
      <c r="AB9" t="s">
        <v>164</v>
      </c>
    </row>
    <row r="10" spans="1:28" x14ac:dyDescent="0.35">
      <c r="A10" t="s">
        <v>356</v>
      </c>
      <c r="B10">
        <v>22708</v>
      </c>
      <c r="C10">
        <v>345101177</v>
      </c>
      <c r="D10" s="1">
        <v>46240</v>
      </c>
      <c r="E10" t="s">
        <v>360</v>
      </c>
      <c r="F10" t="s">
        <v>361</v>
      </c>
      <c r="G10" t="s">
        <v>361</v>
      </c>
      <c r="H10" t="s">
        <v>362</v>
      </c>
      <c r="I10" t="s">
        <v>363</v>
      </c>
      <c r="J10" t="s">
        <v>366</v>
      </c>
      <c r="K10" s="1">
        <v>46230</v>
      </c>
      <c r="L10" s="1">
        <v>46240</v>
      </c>
      <c r="M10" t="s">
        <v>106</v>
      </c>
      <c r="N10" t="s">
        <v>93</v>
      </c>
      <c r="O10" t="s">
        <v>365</v>
      </c>
      <c r="P10" t="s">
        <v>56</v>
      </c>
      <c r="Q10" t="s">
        <v>57</v>
      </c>
      <c r="R10">
        <v>10000</v>
      </c>
      <c r="S10">
        <v>0.3</v>
      </c>
      <c r="T10">
        <v>3000</v>
      </c>
      <c r="U10">
        <v>1</v>
      </c>
      <c r="V10">
        <v>0.3</v>
      </c>
      <c r="W10">
        <v>3000</v>
      </c>
      <c r="X10" t="s">
        <v>18</v>
      </c>
      <c r="Y10" t="s">
        <v>25</v>
      </c>
      <c r="Z10" t="s">
        <v>118</v>
      </c>
      <c r="AA10">
        <v>342000789</v>
      </c>
      <c r="AB10" t="s">
        <v>164</v>
      </c>
    </row>
    <row r="11" spans="1:28" x14ac:dyDescent="0.35">
      <c r="A11" t="s">
        <v>356</v>
      </c>
      <c r="B11">
        <v>22831</v>
      </c>
      <c r="C11">
        <v>345101255</v>
      </c>
      <c r="D11" s="1">
        <v>46237</v>
      </c>
      <c r="E11" t="s">
        <v>128</v>
      </c>
      <c r="F11" t="s">
        <v>129</v>
      </c>
      <c r="G11" t="s">
        <v>319</v>
      </c>
      <c r="H11" t="s">
        <v>367</v>
      </c>
      <c r="I11" t="s">
        <v>368</v>
      </c>
      <c r="J11" t="s">
        <v>320</v>
      </c>
      <c r="K11" s="1">
        <v>46233</v>
      </c>
      <c r="L11" s="1">
        <v>46237</v>
      </c>
      <c r="M11" t="s">
        <v>106</v>
      </c>
      <c r="N11" t="s">
        <v>321</v>
      </c>
      <c r="O11" t="s">
        <v>322</v>
      </c>
      <c r="P11" t="s">
        <v>74</v>
      </c>
      <c r="Q11" t="s">
        <v>55</v>
      </c>
      <c r="R11">
        <v>3000</v>
      </c>
      <c r="S11">
        <v>3.65</v>
      </c>
      <c r="T11">
        <v>10950</v>
      </c>
      <c r="U11">
        <v>1</v>
      </c>
      <c r="V11">
        <v>3.65</v>
      </c>
      <c r="W11">
        <v>10950</v>
      </c>
      <c r="X11" t="s">
        <v>11</v>
      </c>
      <c r="Y11" t="s">
        <v>21</v>
      </c>
      <c r="Z11" t="s">
        <v>118</v>
      </c>
      <c r="AA11">
        <v>341003523</v>
      </c>
      <c r="AB11" t="s">
        <v>164</v>
      </c>
    </row>
    <row r="12" spans="1:28" x14ac:dyDescent="0.35">
      <c r="A12" t="s">
        <v>356</v>
      </c>
      <c r="B12">
        <v>22834</v>
      </c>
      <c r="C12">
        <v>345101258</v>
      </c>
      <c r="D12" s="1">
        <v>46237</v>
      </c>
      <c r="E12" t="s">
        <v>128</v>
      </c>
      <c r="F12" t="s">
        <v>129</v>
      </c>
      <c r="G12" t="s">
        <v>319</v>
      </c>
      <c r="H12" t="s">
        <v>367</v>
      </c>
      <c r="I12" t="s">
        <v>368</v>
      </c>
      <c r="J12" t="s">
        <v>172</v>
      </c>
      <c r="K12" s="1">
        <v>46233</v>
      </c>
      <c r="L12" s="1">
        <v>46237</v>
      </c>
      <c r="M12" t="s">
        <v>106</v>
      </c>
      <c r="N12" t="s">
        <v>133</v>
      </c>
      <c r="O12" t="s">
        <v>134</v>
      </c>
      <c r="P12" t="s">
        <v>56</v>
      </c>
      <c r="Q12" t="s">
        <v>57</v>
      </c>
      <c r="R12">
        <v>7698</v>
      </c>
      <c r="S12">
        <v>1.26</v>
      </c>
      <c r="T12">
        <v>9699.48</v>
      </c>
      <c r="U12">
        <v>1</v>
      </c>
      <c r="V12">
        <v>1.26</v>
      </c>
      <c r="W12">
        <v>9699.48</v>
      </c>
      <c r="X12" t="s">
        <v>11</v>
      </c>
      <c r="Y12" t="s">
        <v>21</v>
      </c>
      <c r="Z12" t="s">
        <v>118</v>
      </c>
      <c r="AA12">
        <v>341002467</v>
      </c>
      <c r="AB12" t="s">
        <v>164</v>
      </c>
    </row>
    <row r="13" spans="1:28" x14ac:dyDescent="0.35">
      <c r="A13" t="s">
        <v>356</v>
      </c>
      <c r="B13">
        <v>22834</v>
      </c>
      <c r="C13">
        <v>345101258</v>
      </c>
      <c r="D13" s="1">
        <v>46237</v>
      </c>
      <c r="E13" t="s">
        <v>128</v>
      </c>
      <c r="F13" t="s">
        <v>129</v>
      </c>
      <c r="G13" t="s">
        <v>319</v>
      </c>
      <c r="H13" t="s">
        <v>367</v>
      </c>
      <c r="I13" t="s">
        <v>368</v>
      </c>
      <c r="J13" t="s">
        <v>172</v>
      </c>
      <c r="K13" s="1">
        <v>46233</v>
      </c>
      <c r="L13" s="1">
        <v>46237</v>
      </c>
      <c r="M13" t="s">
        <v>106</v>
      </c>
      <c r="N13" t="s">
        <v>133</v>
      </c>
      <c r="O13" t="s">
        <v>134</v>
      </c>
      <c r="P13" t="s">
        <v>56</v>
      </c>
      <c r="Q13" t="s">
        <v>57</v>
      </c>
      <c r="R13">
        <v>4523</v>
      </c>
      <c r="S13">
        <v>1.26</v>
      </c>
      <c r="T13">
        <v>5698.98</v>
      </c>
      <c r="U13">
        <v>1</v>
      </c>
      <c r="V13">
        <v>1.26</v>
      </c>
      <c r="W13">
        <v>5698.98</v>
      </c>
      <c r="X13" t="s">
        <v>11</v>
      </c>
      <c r="Y13" t="s">
        <v>21</v>
      </c>
      <c r="Z13" t="s">
        <v>118</v>
      </c>
      <c r="AA13">
        <v>341002467</v>
      </c>
      <c r="AB13" t="s">
        <v>164</v>
      </c>
    </row>
    <row r="14" spans="1:28" x14ac:dyDescent="0.35">
      <c r="A14" t="s">
        <v>356</v>
      </c>
      <c r="B14">
        <v>22830</v>
      </c>
      <c r="C14">
        <v>345101254</v>
      </c>
      <c r="D14" s="1">
        <v>46237</v>
      </c>
      <c r="E14" t="s">
        <v>128</v>
      </c>
      <c r="F14" t="s">
        <v>129</v>
      </c>
      <c r="G14" t="s">
        <v>319</v>
      </c>
      <c r="H14" t="s">
        <v>367</v>
      </c>
      <c r="I14" t="s">
        <v>368</v>
      </c>
      <c r="J14" t="s">
        <v>173</v>
      </c>
      <c r="K14" s="1">
        <v>46233</v>
      </c>
      <c r="L14" s="1">
        <v>46237</v>
      </c>
      <c r="M14" t="s">
        <v>106</v>
      </c>
      <c r="N14" t="s">
        <v>130</v>
      </c>
      <c r="O14" t="s">
        <v>131</v>
      </c>
      <c r="P14" t="s">
        <v>132</v>
      </c>
      <c r="Q14" t="s">
        <v>55</v>
      </c>
      <c r="R14">
        <v>9000</v>
      </c>
      <c r="S14">
        <v>0.17899999999999999</v>
      </c>
      <c r="T14">
        <v>1611</v>
      </c>
      <c r="U14">
        <v>1</v>
      </c>
      <c r="V14">
        <v>0.17899999999999999</v>
      </c>
      <c r="W14">
        <v>1611</v>
      </c>
      <c r="X14" t="s">
        <v>11</v>
      </c>
      <c r="Y14" t="s">
        <v>21</v>
      </c>
      <c r="Z14" t="s">
        <v>118</v>
      </c>
      <c r="AA14">
        <v>341002968</v>
      </c>
      <c r="AB14" t="s">
        <v>164</v>
      </c>
    </row>
    <row r="15" spans="1:28" x14ac:dyDescent="0.35">
      <c r="A15" t="s">
        <v>356</v>
      </c>
      <c r="B15">
        <v>22713</v>
      </c>
      <c r="C15">
        <v>345101181</v>
      </c>
      <c r="D15" s="1">
        <v>46238</v>
      </c>
      <c r="E15" t="s">
        <v>81</v>
      </c>
      <c r="F15" t="s">
        <v>82</v>
      </c>
      <c r="G15" t="s">
        <v>82</v>
      </c>
      <c r="H15" t="s">
        <v>357</v>
      </c>
      <c r="I15" t="s">
        <v>358</v>
      </c>
      <c r="J15">
        <v>4200000254</v>
      </c>
      <c r="K15" s="1">
        <v>46230</v>
      </c>
      <c r="L15" s="1">
        <v>46238</v>
      </c>
      <c r="M15" t="s">
        <v>106</v>
      </c>
      <c r="N15" t="s">
        <v>323</v>
      </c>
      <c r="O15" t="s">
        <v>324</v>
      </c>
      <c r="P15" t="s">
        <v>180</v>
      </c>
      <c r="Q15" t="s">
        <v>64</v>
      </c>
      <c r="R15">
        <v>143550</v>
      </c>
      <c r="S15">
        <v>7.9000000000000001E-2</v>
      </c>
      <c r="T15">
        <v>11340.45</v>
      </c>
      <c r="U15">
        <v>1</v>
      </c>
      <c r="V15">
        <v>7.9000000000000001E-2</v>
      </c>
      <c r="W15">
        <v>11340.45</v>
      </c>
      <c r="X15" t="s">
        <v>11</v>
      </c>
      <c r="Y15" t="s">
        <v>22</v>
      </c>
      <c r="Z15" t="s">
        <v>118</v>
      </c>
      <c r="AA15">
        <v>342000673</v>
      </c>
      <c r="AB15" t="s">
        <v>325</v>
      </c>
    </row>
    <row r="16" spans="1:28" x14ac:dyDescent="0.35">
      <c r="A16" t="s">
        <v>356</v>
      </c>
      <c r="B16">
        <v>22855</v>
      </c>
      <c r="C16">
        <v>345101266</v>
      </c>
      <c r="D16" s="1">
        <v>46237</v>
      </c>
      <c r="E16" t="s">
        <v>71</v>
      </c>
      <c r="F16" t="s">
        <v>165</v>
      </c>
      <c r="G16" t="s">
        <v>45</v>
      </c>
      <c r="H16" t="s">
        <v>357</v>
      </c>
      <c r="I16" t="s">
        <v>358</v>
      </c>
      <c r="J16">
        <v>4190074523</v>
      </c>
      <c r="K16" s="1">
        <v>46234</v>
      </c>
      <c r="L16" s="1">
        <v>46237</v>
      </c>
      <c r="M16" t="s">
        <v>106</v>
      </c>
      <c r="N16" t="s">
        <v>149</v>
      </c>
      <c r="O16" t="s">
        <v>169</v>
      </c>
      <c r="P16" t="s">
        <v>56</v>
      </c>
      <c r="Q16" t="s">
        <v>57</v>
      </c>
      <c r="R16">
        <v>5120</v>
      </c>
      <c r="S16">
        <v>0.81899999999999995</v>
      </c>
      <c r="T16">
        <v>4193.28</v>
      </c>
      <c r="U16">
        <v>1</v>
      </c>
      <c r="V16">
        <v>0.81899999999999995</v>
      </c>
      <c r="W16">
        <v>4193.28</v>
      </c>
      <c r="X16" t="s">
        <v>13</v>
      </c>
      <c r="Y16" t="s">
        <v>25</v>
      </c>
      <c r="Z16" t="s">
        <v>118</v>
      </c>
      <c r="AA16">
        <v>232403698</v>
      </c>
      <c r="AB16" t="s">
        <v>326</v>
      </c>
    </row>
    <row r="17" spans="1:28" x14ac:dyDescent="0.35">
      <c r="A17" t="s">
        <v>356</v>
      </c>
      <c r="B17">
        <v>22855</v>
      </c>
      <c r="C17">
        <v>345101266</v>
      </c>
      <c r="D17" s="1">
        <v>46237</v>
      </c>
      <c r="E17" t="s">
        <v>71</v>
      </c>
      <c r="F17" t="s">
        <v>165</v>
      </c>
      <c r="G17" t="s">
        <v>45</v>
      </c>
      <c r="H17" t="s">
        <v>357</v>
      </c>
      <c r="I17" t="s">
        <v>358</v>
      </c>
      <c r="J17">
        <v>4190077791</v>
      </c>
      <c r="K17" s="1">
        <v>46234</v>
      </c>
      <c r="L17" s="1">
        <v>46237</v>
      </c>
      <c r="M17" t="s">
        <v>106</v>
      </c>
      <c r="N17" t="s">
        <v>149</v>
      </c>
      <c r="O17" t="s">
        <v>169</v>
      </c>
      <c r="P17" t="s">
        <v>56</v>
      </c>
      <c r="Q17" t="s">
        <v>57</v>
      </c>
      <c r="R17">
        <v>5120</v>
      </c>
      <c r="S17">
        <v>0.81899999999999995</v>
      </c>
      <c r="T17">
        <v>4193.28</v>
      </c>
      <c r="U17">
        <v>1</v>
      </c>
      <c r="V17">
        <v>0.81899999999999995</v>
      </c>
      <c r="W17">
        <v>4193.28</v>
      </c>
      <c r="X17" t="s">
        <v>13</v>
      </c>
      <c r="Y17" t="s">
        <v>25</v>
      </c>
      <c r="Z17" t="s">
        <v>118</v>
      </c>
      <c r="AA17">
        <v>341000416</v>
      </c>
      <c r="AB17" t="s">
        <v>326</v>
      </c>
    </row>
    <row r="18" spans="1:28" x14ac:dyDescent="0.35">
      <c r="A18" t="s">
        <v>356</v>
      </c>
      <c r="B18">
        <v>22855</v>
      </c>
      <c r="C18">
        <v>345101266</v>
      </c>
      <c r="D18" s="1">
        <v>46237</v>
      </c>
      <c r="E18" t="s">
        <v>71</v>
      </c>
      <c r="F18" t="s">
        <v>165</v>
      </c>
      <c r="G18" t="s">
        <v>45</v>
      </c>
      <c r="H18" t="s">
        <v>357</v>
      </c>
      <c r="I18" t="s">
        <v>358</v>
      </c>
      <c r="J18">
        <v>4190086324</v>
      </c>
      <c r="K18" s="1">
        <v>46234</v>
      </c>
      <c r="L18" s="1">
        <v>46237</v>
      </c>
      <c r="M18" t="s">
        <v>106</v>
      </c>
      <c r="N18" t="s">
        <v>107</v>
      </c>
      <c r="O18" t="s">
        <v>167</v>
      </c>
      <c r="P18" t="s">
        <v>84</v>
      </c>
      <c r="Q18" t="s">
        <v>57</v>
      </c>
      <c r="R18">
        <v>40000</v>
      </c>
      <c r="S18">
        <v>0.13600000000000001</v>
      </c>
      <c r="T18">
        <v>5440</v>
      </c>
      <c r="U18">
        <v>1</v>
      </c>
      <c r="V18">
        <v>0.13600000000000001</v>
      </c>
      <c r="W18">
        <v>5440</v>
      </c>
      <c r="X18" t="s">
        <v>13</v>
      </c>
      <c r="Y18" t="s">
        <v>25</v>
      </c>
      <c r="Z18" t="s">
        <v>118</v>
      </c>
      <c r="AA18">
        <v>342000303</v>
      </c>
      <c r="AB18" t="s">
        <v>326</v>
      </c>
    </row>
    <row r="19" spans="1:28" x14ac:dyDescent="0.35">
      <c r="A19" t="s">
        <v>356</v>
      </c>
      <c r="B19">
        <v>22854</v>
      </c>
      <c r="C19">
        <v>345101265</v>
      </c>
      <c r="D19" s="1">
        <v>46237</v>
      </c>
      <c r="E19" t="s">
        <v>71</v>
      </c>
      <c r="F19" t="s">
        <v>165</v>
      </c>
      <c r="G19" t="s">
        <v>45</v>
      </c>
      <c r="H19" t="s">
        <v>357</v>
      </c>
      <c r="I19" t="s">
        <v>358</v>
      </c>
      <c r="J19">
        <v>4190089494</v>
      </c>
      <c r="K19" s="1">
        <v>46234</v>
      </c>
      <c r="L19" s="1">
        <v>46237</v>
      </c>
      <c r="M19" t="s">
        <v>106</v>
      </c>
      <c r="N19" t="s">
        <v>109</v>
      </c>
      <c r="O19" t="s">
        <v>168</v>
      </c>
      <c r="P19" t="s">
        <v>108</v>
      </c>
      <c r="Q19" t="s">
        <v>55</v>
      </c>
      <c r="R19">
        <v>18000</v>
      </c>
      <c r="S19">
        <v>6.8000000000000005E-2</v>
      </c>
      <c r="T19">
        <v>1224</v>
      </c>
      <c r="U19">
        <v>1</v>
      </c>
      <c r="V19">
        <v>6.8000000000000005E-2</v>
      </c>
      <c r="W19">
        <v>1224</v>
      </c>
      <c r="X19" t="s">
        <v>13</v>
      </c>
      <c r="Y19" t="s">
        <v>25</v>
      </c>
      <c r="Z19" t="s">
        <v>118</v>
      </c>
      <c r="AA19">
        <v>342000744</v>
      </c>
      <c r="AB19" t="s">
        <v>326</v>
      </c>
    </row>
    <row r="20" spans="1:28" x14ac:dyDescent="0.35">
      <c r="A20" t="s">
        <v>356</v>
      </c>
      <c r="B20">
        <v>22854</v>
      </c>
      <c r="C20">
        <v>345101265</v>
      </c>
      <c r="D20" s="1">
        <v>46237</v>
      </c>
      <c r="E20" t="s">
        <v>71</v>
      </c>
      <c r="F20" t="s">
        <v>165</v>
      </c>
      <c r="G20" t="s">
        <v>45</v>
      </c>
      <c r="H20" t="s">
        <v>357</v>
      </c>
      <c r="I20" t="s">
        <v>358</v>
      </c>
      <c r="J20">
        <v>4190089494</v>
      </c>
      <c r="K20" s="1">
        <v>46234</v>
      </c>
      <c r="L20" s="1">
        <v>46237</v>
      </c>
      <c r="M20" t="s">
        <v>106</v>
      </c>
      <c r="N20" t="s">
        <v>109</v>
      </c>
      <c r="O20" t="s">
        <v>168</v>
      </c>
      <c r="P20" t="s">
        <v>108</v>
      </c>
      <c r="Q20" t="s">
        <v>55</v>
      </c>
      <c r="R20">
        <v>24000</v>
      </c>
      <c r="S20">
        <v>6.8000000000000005E-2</v>
      </c>
      <c r="T20">
        <v>1632</v>
      </c>
      <c r="U20">
        <v>1</v>
      </c>
      <c r="V20">
        <v>6.8000000000000005E-2</v>
      </c>
      <c r="W20">
        <v>1632</v>
      </c>
      <c r="X20" t="s">
        <v>13</v>
      </c>
      <c r="Y20" t="s">
        <v>25</v>
      </c>
      <c r="Z20" t="s">
        <v>118</v>
      </c>
      <c r="AA20">
        <v>342000744</v>
      </c>
      <c r="AB20" t="s">
        <v>326</v>
      </c>
    </row>
    <row r="21" spans="1:28" x14ac:dyDescent="0.35">
      <c r="A21" t="s">
        <v>356</v>
      </c>
      <c r="B21">
        <v>22813</v>
      </c>
      <c r="C21">
        <v>345101242</v>
      </c>
      <c r="D21" s="1">
        <v>46237</v>
      </c>
      <c r="E21" t="s">
        <v>327</v>
      </c>
      <c r="F21" t="s">
        <v>328</v>
      </c>
      <c r="G21" t="s">
        <v>329</v>
      </c>
      <c r="H21" t="s">
        <v>369</v>
      </c>
      <c r="I21" t="s">
        <v>370</v>
      </c>
      <c r="J21" t="s">
        <v>330</v>
      </c>
      <c r="K21" s="1">
        <v>46233</v>
      </c>
      <c r="L21" s="1">
        <v>46237</v>
      </c>
      <c r="M21" t="s">
        <v>106</v>
      </c>
      <c r="N21" t="s">
        <v>331</v>
      </c>
      <c r="O21" t="s">
        <v>332</v>
      </c>
      <c r="P21" t="s">
        <v>135</v>
      </c>
      <c r="Q21" t="s">
        <v>55</v>
      </c>
      <c r="R21">
        <v>10000</v>
      </c>
      <c r="S21">
        <v>0.245</v>
      </c>
      <c r="T21">
        <v>2450</v>
      </c>
      <c r="U21">
        <v>1</v>
      </c>
      <c r="V21">
        <v>0.245</v>
      </c>
      <c r="W21">
        <v>2450</v>
      </c>
      <c r="X21" t="s">
        <v>11</v>
      </c>
      <c r="Y21" t="s">
        <v>14</v>
      </c>
      <c r="Z21" t="s">
        <v>118</v>
      </c>
      <c r="AA21">
        <v>341001548</v>
      </c>
    </row>
    <row r="22" spans="1:28" x14ac:dyDescent="0.35">
      <c r="A22" t="s">
        <v>356</v>
      </c>
      <c r="B22">
        <v>22813</v>
      </c>
      <c r="C22">
        <v>345101242</v>
      </c>
      <c r="D22" s="1">
        <v>46237</v>
      </c>
      <c r="E22" t="s">
        <v>327</v>
      </c>
      <c r="F22" t="s">
        <v>328</v>
      </c>
      <c r="G22" t="s">
        <v>329</v>
      </c>
      <c r="H22" t="s">
        <v>369</v>
      </c>
      <c r="I22" t="s">
        <v>370</v>
      </c>
      <c r="J22" t="s">
        <v>330</v>
      </c>
      <c r="K22" s="1">
        <v>46233</v>
      </c>
      <c r="L22" s="1">
        <v>46237</v>
      </c>
      <c r="M22" t="s">
        <v>106</v>
      </c>
      <c r="N22" t="s">
        <v>331</v>
      </c>
      <c r="O22" t="s">
        <v>332</v>
      </c>
      <c r="P22" t="s">
        <v>135</v>
      </c>
      <c r="Q22" t="s">
        <v>55</v>
      </c>
      <c r="R22">
        <v>25000</v>
      </c>
      <c r="S22">
        <v>0.245</v>
      </c>
      <c r="T22">
        <v>6125</v>
      </c>
      <c r="U22">
        <v>1</v>
      </c>
      <c r="V22">
        <v>0.245</v>
      </c>
      <c r="W22">
        <v>6125</v>
      </c>
      <c r="X22" t="s">
        <v>11</v>
      </c>
      <c r="Y22" t="s">
        <v>14</v>
      </c>
      <c r="Z22" t="s">
        <v>118</v>
      </c>
      <c r="AA22">
        <v>341001548</v>
      </c>
    </row>
    <row r="23" spans="1:28" x14ac:dyDescent="0.35">
      <c r="A23" t="s">
        <v>356</v>
      </c>
      <c r="B23">
        <v>22813</v>
      </c>
      <c r="C23">
        <v>345101242</v>
      </c>
      <c r="D23" s="1">
        <v>46237</v>
      </c>
      <c r="E23" t="s">
        <v>327</v>
      </c>
      <c r="F23" t="s">
        <v>328</v>
      </c>
      <c r="G23" t="s">
        <v>329</v>
      </c>
      <c r="H23" t="s">
        <v>369</v>
      </c>
      <c r="I23" t="s">
        <v>370</v>
      </c>
      <c r="J23" t="s">
        <v>330</v>
      </c>
      <c r="K23" s="1">
        <v>46233</v>
      </c>
      <c r="L23" s="1">
        <v>46237</v>
      </c>
      <c r="M23" t="s">
        <v>106</v>
      </c>
      <c r="N23" t="s">
        <v>331</v>
      </c>
      <c r="O23" t="s">
        <v>332</v>
      </c>
      <c r="P23" t="s">
        <v>135</v>
      </c>
      <c r="Q23" t="s">
        <v>55</v>
      </c>
      <c r="R23">
        <v>50000</v>
      </c>
      <c r="S23">
        <v>0.245</v>
      </c>
      <c r="T23">
        <v>12250</v>
      </c>
      <c r="U23">
        <v>1</v>
      </c>
      <c r="V23">
        <v>0.245</v>
      </c>
      <c r="W23">
        <v>12250</v>
      </c>
      <c r="X23" t="s">
        <v>11</v>
      </c>
      <c r="Y23" t="s">
        <v>14</v>
      </c>
      <c r="Z23" t="s">
        <v>118</v>
      </c>
      <c r="AA23">
        <v>341001548</v>
      </c>
    </row>
    <row r="24" spans="1:28" x14ac:dyDescent="0.35">
      <c r="A24" t="s">
        <v>356</v>
      </c>
      <c r="B24">
        <v>22813</v>
      </c>
      <c r="C24">
        <v>345101242</v>
      </c>
      <c r="D24" s="1">
        <v>46237</v>
      </c>
      <c r="E24" t="s">
        <v>327</v>
      </c>
      <c r="F24" t="s">
        <v>328</v>
      </c>
      <c r="G24" t="s">
        <v>329</v>
      </c>
      <c r="H24" t="s">
        <v>369</v>
      </c>
      <c r="I24" t="s">
        <v>370</v>
      </c>
      <c r="J24" t="s">
        <v>333</v>
      </c>
      <c r="K24" s="1">
        <v>46233</v>
      </c>
      <c r="L24" s="1">
        <v>46237</v>
      </c>
      <c r="M24" t="s">
        <v>106</v>
      </c>
      <c r="N24" t="s">
        <v>334</v>
      </c>
      <c r="O24" t="s">
        <v>335</v>
      </c>
      <c r="P24" t="s">
        <v>135</v>
      </c>
      <c r="Q24" t="s">
        <v>55</v>
      </c>
      <c r="R24">
        <v>40000</v>
      </c>
      <c r="S24">
        <v>5.9999999999999995E-4</v>
      </c>
      <c r="T24">
        <v>24.8</v>
      </c>
      <c r="U24">
        <v>1</v>
      </c>
      <c r="V24">
        <v>5.9999999999999995E-4</v>
      </c>
      <c r="W24">
        <v>24.8</v>
      </c>
      <c r="X24" t="s">
        <v>11</v>
      </c>
      <c r="Y24" t="s">
        <v>14</v>
      </c>
      <c r="Z24" t="s">
        <v>118</v>
      </c>
      <c r="AA24">
        <v>341002150</v>
      </c>
    </row>
    <row r="25" spans="1:28" x14ac:dyDescent="0.35">
      <c r="A25" t="s">
        <v>356</v>
      </c>
      <c r="B25">
        <v>22813</v>
      </c>
      <c r="C25">
        <v>345101242</v>
      </c>
      <c r="D25" s="1">
        <v>46237</v>
      </c>
      <c r="E25" t="s">
        <v>327</v>
      </c>
      <c r="F25" t="s">
        <v>328</v>
      </c>
      <c r="G25" t="s">
        <v>329</v>
      </c>
      <c r="H25" t="s">
        <v>369</v>
      </c>
      <c r="I25" t="s">
        <v>370</v>
      </c>
      <c r="J25" t="s">
        <v>336</v>
      </c>
      <c r="K25" s="1">
        <v>46233</v>
      </c>
      <c r="L25" s="1">
        <v>46237</v>
      </c>
      <c r="M25" t="s">
        <v>106</v>
      </c>
      <c r="N25" t="s">
        <v>337</v>
      </c>
      <c r="O25" t="s">
        <v>338</v>
      </c>
      <c r="P25" t="s">
        <v>135</v>
      </c>
      <c r="Q25" t="s">
        <v>55</v>
      </c>
      <c r="R25">
        <v>200000</v>
      </c>
      <c r="S25">
        <v>4.4999999999999998E-2</v>
      </c>
      <c r="T25">
        <v>9000</v>
      </c>
      <c r="U25">
        <v>1</v>
      </c>
      <c r="V25">
        <v>4.4999999999999998E-2</v>
      </c>
      <c r="W25">
        <v>9000</v>
      </c>
      <c r="X25" t="s">
        <v>11</v>
      </c>
      <c r="Y25" t="s">
        <v>14</v>
      </c>
      <c r="Z25" t="s">
        <v>118</v>
      </c>
      <c r="AA25">
        <v>341002407</v>
      </c>
    </row>
    <row r="26" spans="1:28" x14ac:dyDescent="0.35">
      <c r="A26" t="s">
        <v>356</v>
      </c>
      <c r="B26">
        <v>22874</v>
      </c>
      <c r="C26">
        <v>345101280</v>
      </c>
      <c r="D26" s="1">
        <v>46237</v>
      </c>
      <c r="E26" t="s">
        <v>339</v>
      </c>
      <c r="F26" t="s">
        <v>340</v>
      </c>
      <c r="G26" t="s">
        <v>340</v>
      </c>
      <c r="H26" t="s">
        <v>369</v>
      </c>
      <c r="I26" t="s">
        <v>370</v>
      </c>
      <c r="J26">
        <v>20260010</v>
      </c>
      <c r="K26" s="1">
        <v>46234</v>
      </c>
      <c r="L26" s="1">
        <v>46237</v>
      </c>
      <c r="M26" t="s">
        <v>106</v>
      </c>
      <c r="N26" t="s">
        <v>341</v>
      </c>
      <c r="O26" t="s">
        <v>342</v>
      </c>
      <c r="P26" t="s">
        <v>56</v>
      </c>
      <c r="Q26" t="s">
        <v>57</v>
      </c>
      <c r="R26">
        <v>3</v>
      </c>
      <c r="S26">
        <v>3990</v>
      </c>
      <c r="T26">
        <v>11970</v>
      </c>
      <c r="U26">
        <v>1</v>
      </c>
      <c r="V26">
        <v>3990</v>
      </c>
      <c r="W26">
        <v>11970</v>
      </c>
      <c r="X26" t="s">
        <v>15</v>
      </c>
      <c r="Y26" t="s">
        <v>21</v>
      </c>
      <c r="Z26" t="s">
        <v>118</v>
      </c>
      <c r="AA26">
        <v>342000426</v>
      </c>
      <c r="AB26" t="s">
        <v>343</v>
      </c>
    </row>
    <row r="27" spans="1:28" x14ac:dyDescent="0.35">
      <c r="A27" t="s">
        <v>356</v>
      </c>
      <c r="B27">
        <v>22432</v>
      </c>
      <c r="C27">
        <v>345100979</v>
      </c>
      <c r="D27" s="1">
        <v>46239</v>
      </c>
      <c r="E27" t="s">
        <v>71</v>
      </c>
      <c r="F27" t="s">
        <v>165</v>
      </c>
      <c r="G27" t="s">
        <v>45</v>
      </c>
      <c r="H27" t="s">
        <v>357</v>
      </c>
      <c r="I27" t="s">
        <v>358</v>
      </c>
      <c r="J27">
        <v>4190086858</v>
      </c>
      <c r="K27" s="1">
        <v>46223</v>
      </c>
      <c r="L27" s="1">
        <v>46239</v>
      </c>
      <c r="M27" t="s">
        <v>106</v>
      </c>
      <c r="N27" t="s">
        <v>114</v>
      </c>
      <c r="O27" t="s">
        <v>113</v>
      </c>
      <c r="P27" t="s">
        <v>60</v>
      </c>
      <c r="Q27" t="s">
        <v>55</v>
      </c>
      <c r="R27">
        <v>174600</v>
      </c>
      <c r="S27">
        <v>0.15</v>
      </c>
      <c r="T27">
        <v>26190</v>
      </c>
      <c r="U27">
        <v>1</v>
      </c>
      <c r="V27">
        <v>0.15</v>
      </c>
      <c r="W27">
        <v>26190</v>
      </c>
      <c r="X27" t="s">
        <v>13</v>
      </c>
      <c r="Y27" t="s">
        <v>25</v>
      </c>
      <c r="Z27" t="s">
        <v>118</v>
      </c>
      <c r="AA27">
        <v>341003726</v>
      </c>
      <c r="AB27" t="s">
        <v>171</v>
      </c>
    </row>
    <row r="28" spans="1:28" x14ac:dyDescent="0.35">
      <c r="A28" t="s">
        <v>356</v>
      </c>
      <c r="B28">
        <v>22432</v>
      </c>
      <c r="C28">
        <v>345100979</v>
      </c>
      <c r="D28" s="1">
        <v>46239</v>
      </c>
      <c r="E28" t="s">
        <v>71</v>
      </c>
      <c r="F28" t="s">
        <v>165</v>
      </c>
      <c r="G28" t="s">
        <v>45</v>
      </c>
      <c r="H28" t="s">
        <v>357</v>
      </c>
      <c r="I28" t="s">
        <v>358</v>
      </c>
      <c r="J28">
        <v>4190087746</v>
      </c>
      <c r="K28" s="1">
        <v>46223</v>
      </c>
      <c r="L28" s="1">
        <v>46239</v>
      </c>
      <c r="M28" t="s">
        <v>106</v>
      </c>
      <c r="N28" t="s">
        <v>114</v>
      </c>
      <c r="O28" t="s">
        <v>113</v>
      </c>
      <c r="P28" t="s">
        <v>60</v>
      </c>
      <c r="Q28" t="s">
        <v>55</v>
      </c>
      <c r="R28">
        <v>25400</v>
      </c>
      <c r="S28">
        <v>0.15</v>
      </c>
      <c r="T28">
        <v>3810</v>
      </c>
      <c r="U28">
        <v>1</v>
      </c>
      <c r="V28">
        <v>0.15</v>
      </c>
      <c r="W28">
        <v>3810</v>
      </c>
      <c r="X28" t="s">
        <v>13</v>
      </c>
      <c r="Y28" t="s">
        <v>25</v>
      </c>
      <c r="Z28" t="s">
        <v>118</v>
      </c>
      <c r="AA28">
        <v>342000203</v>
      </c>
      <c r="AB28" t="s">
        <v>171</v>
      </c>
    </row>
    <row r="29" spans="1:28" x14ac:dyDescent="0.35">
      <c r="A29" t="s">
        <v>356</v>
      </c>
      <c r="B29">
        <v>22432</v>
      </c>
      <c r="C29">
        <v>345100979</v>
      </c>
      <c r="D29" s="1">
        <v>46239</v>
      </c>
      <c r="E29" t="s">
        <v>71</v>
      </c>
      <c r="F29" t="s">
        <v>165</v>
      </c>
      <c r="K29" s="1">
        <v>46223</v>
      </c>
      <c r="L29" s="1">
        <v>46239</v>
      </c>
      <c r="M29" t="s">
        <v>106</v>
      </c>
      <c r="N29" t="s">
        <v>72</v>
      </c>
      <c r="O29" t="s">
        <v>72</v>
      </c>
      <c r="P29" t="s">
        <v>65</v>
      </c>
      <c r="Q29" t="s">
        <v>371</v>
      </c>
      <c r="R29">
        <v>1</v>
      </c>
      <c r="S29">
        <v>45</v>
      </c>
      <c r="T29">
        <v>45</v>
      </c>
      <c r="U29">
        <v>1</v>
      </c>
      <c r="V29">
        <v>45</v>
      </c>
      <c r="W29">
        <v>45</v>
      </c>
      <c r="X29" t="s">
        <v>13</v>
      </c>
      <c r="Y29" t="s">
        <v>25</v>
      </c>
      <c r="Z29" t="s">
        <v>118</v>
      </c>
      <c r="AB29" t="s">
        <v>171</v>
      </c>
    </row>
    <row r="30" spans="1:28" x14ac:dyDescent="0.35">
      <c r="A30" t="s">
        <v>356</v>
      </c>
      <c r="B30">
        <v>22469</v>
      </c>
      <c r="C30">
        <v>345101005</v>
      </c>
      <c r="D30" s="1">
        <v>46239</v>
      </c>
      <c r="E30" t="s">
        <v>71</v>
      </c>
      <c r="F30" t="s">
        <v>165</v>
      </c>
      <c r="G30" t="s">
        <v>45</v>
      </c>
      <c r="H30" t="s">
        <v>357</v>
      </c>
      <c r="I30" t="s">
        <v>358</v>
      </c>
      <c r="J30">
        <v>4190086852</v>
      </c>
      <c r="K30" s="1">
        <v>46224</v>
      </c>
      <c r="L30" s="1">
        <v>46239</v>
      </c>
      <c r="M30" t="s">
        <v>106</v>
      </c>
      <c r="N30" t="s">
        <v>112</v>
      </c>
      <c r="O30" t="s">
        <v>111</v>
      </c>
      <c r="P30" t="s">
        <v>60</v>
      </c>
      <c r="Q30" t="s">
        <v>55</v>
      </c>
      <c r="R30">
        <v>59200</v>
      </c>
      <c r="S30">
        <v>0.13500000000000001</v>
      </c>
      <c r="T30">
        <v>7992</v>
      </c>
      <c r="U30">
        <v>1</v>
      </c>
      <c r="V30">
        <v>0.13500000000000001</v>
      </c>
      <c r="W30">
        <v>7992</v>
      </c>
      <c r="X30" t="s">
        <v>13</v>
      </c>
      <c r="Y30" t="s">
        <v>25</v>
      </c>
      <c r="Z30" t="s">
        <v>118</v>
      </c>
      <c r="AA30">
        <v>341003710</v>
      </c>
      <c r="AB30" t="s">
        <v>170</v>
      </c>
    </row>
    <row r="31" spans="1:28" x14ac:dyDescent="0.35">
      <c r="A31" t="s">
        <v>356</v>
      </c>
      <c r="B31">
        <v>22469</v>
      </c>
      <c r="C31">
        <v>345101005</v>
      </c>
      <c r="D31" s="1">
        <v>46239</v>
      </c>
      <c r="E31" t="s">
        <v>71</v>
      </c>
      <c r="F31" t="s">
        <v>165</v>
      </c>
      <c r="G31" t="s">
        <v>45</v>
      </c>
      <c r="H31" t="s">
        <v>357</v>
      </c>
      <c r="I31" t="s">
        <v>358</v>
      </c>
      <c r="J31">
        <v>4190087746</v>
      </c>
      <c r="K31" s="1">
        <v>46224</v>
      </c>
      <c r="L31" s="1">
        <v>46239</v>
      </c>
      <c r="M31" t="s">
        <v>106</v>
      </c>
      <c r="N31" t="s">
        <v>114</v>
      </c>
      <c r="O31" t="s">
        <v>113</v>
      </c>
      <c r="P31" t="s">
        <v>60</v>
      </c>
      <c r="Q31" t="s">
        <v>55</v>
      </c>
      <c r="R31">
        <v>100000</v>
      </c>
      <c r="S31">
        <v>0.15</v>
      </c>
      <c r="T31">
        <v>15000</v>
      </c>
      <c r="U31">
        <v>1</v>
      </c>
      <c r="V31">
        <v>0.15</v>
      </c>
      <c r="W31">
        <v>15000</v>
      </c>
      <c r="X31" t="s">
        <v>13</v>
      </c>
      <c r="Y31" t="s">
        <v>25</v>
      </c>
      <c r="Z31" t="s">
        <v>118</v>
      </c>
      <c r="AA31">
        <v>342000203</v>
      </c>
      <c r="AB31" t="s">
        <v>170</v>
      </c>
    </row>
    <row r="32" spans="1:28" x14ac:dyDescent="0.35">
      <c r="A32" t="s">
        <v>356</v>
      </c>
      <c r="B32">
        <v>22469</v>
      </c>
      <c r="C32">
        <v>345101005</v>
      </c>
      <c r="D32" s="1">
        <v>46239</v>
      </c>
      <c r="E32" t="s">
        <v>71</v>
      </c>
      <c r="F32" t="s">
        <v>165</v>
      </c>
      <c r="G32" t="s">
        <v>45</v>
      </c>
      <c r="H32" t="s">
        <v>357</v>
      </c>
      <c r="I32" t="s">
        <v>358</v>
      </c>
      <c r="J32">
        <v>4190086322</v>
      </c>
      <c r="K32" s="1">
        <v>46224</v>
      </c>
      <c r="L32" s="1">
        <v>46239</v>
      </c>
      <c r="M32" t="s">
        <v>106</v>
      </c>
      <c r="N32" t="s">
        <v>347</v>
      </c>
      <c r="O32" t="s">
        <v>348</v>
      </c>
      <c r="P32" t="s">
        <v>60</v>
      </c>
      <c r="Q32" t="s">
        <v>55</v>
      </c>
      <c r="R32">
        <v>36800</v>
      </c>
      <c r="S32">
        <v>0.16</v>
      </c>
      <c r="T32">
        <v>5888</v>
      </c>
      <c r="U32">
        <v>1</v>
      </c>
      <c r="V32">
        <v>0.16</v>
      </c>
      <c r="W32">
        <v>5888</v>
      </c>
      <c r="X32" t="s">
        <v>13</v>
      </c>
      <c r="Y32" t="s">
        <v>25</v>
      </c>
      <c r="Z32" t="s">
        <v>118</v>
      </c>
      <c r="AA32">
        <v>341003439</v>
      </c>
      <c r="AB32" t="s">
        <v>170</v>
      </c>
    </row>
    <row r="33" spans="1:28" x14ac:dyDescent="0.35">
      <c r="A33" t="s">
        <v>356</v>
      </c>
      <c r="B33">
        <v>22469</v>
      </c>
      <c r="C33">
        <v>345101005</v>
      </c>
      <c r="D33" s="1">
        <v>46239</v>
      </c>
      <c r="E33" t="s">
        <v>71</v>
      </c>
      <c r="F33" t="s">
        <v>165</v>
      </c>
      <c r="G33" t="s">
        <v>45</v>
      </c>
      <c r="H33" t="s">
        <v>357</v>
      </c>
      <c r="I33" t="s">
        <v>358</v>
      </c>
      <c r="J33">
        <v>4190086322</v>
      </c>
      <c r="K33" s="1">
        <v>46224</v>
      </c>
      <c r="L33" s="1">
        <v>46239</v>
      </c>
      <c r="M33" t="s">
        <v>106</v>
      </c>
      <c r="N33" t="s">
        <v>347</v>
      </c>
      <c r="O33" t="s">
        <v>348</v>
      </c>
      <c r="P33" t="s">
        <v>60</v>
      </c>
      <c r="Q33" t="s">
        <v>55</v>
      </c>
      <c r="R33">
        <v>40000</v>
      </c>
      <c r="S33">
        <v>0.16</v>
      </c>
      <c r="T33">
        <v>6400</v>
      </c>
      <c r="U33">
        <v>1</v>
      </c>
      <c r="V33">
        <v>0.16</v>
      </c>
      <c r="W33">
        <v>6400</v>
      </c>
      <c r="X33" t="s">
        <v>13</v>
      </c>
      <c r="Y33" t="s">
        <v>25</v>
      </c>
      <c r="Z33" t="s">
        <v>118</v>
      </c>
      <c r="AA33">
        <v>341003439</v>
      </c>
      <c r="AB33" t="s">
        <v>170</v>
      </c>
    </row>
    <row r="34" spans="1:28" x14ac:dyDescent="0.35">
      <c r="A34" t="s">
        <v>356</v>
      </c>
      <c r="B34">
        <v>22542</v>
      </c>
      <c r="C34">
        <v>345101058</v>
      </c>
      <c r="D34" s="1">
        <v>46239</v>
      </c>
      <c r="E34" t="s">
        <v>71</v>
      </c>
      <c r="F34" t="s">
        <v>165</v>
      </c>
      <c r="G34" t="s">
        <v>45</v>
      </c>
      <c r="H34" t="s">
        <v>357</v>
      </c>
      <c r="I34" t="s">
        <v>358</v>
      </c>
      <c r="J34">
        <v>4190089447</v>
      </c>
      <c r="K34" s="1">
        <v>46225</v>
      </c>
      <c r="L34" s="1">
        <v>46239</v>
      </c>
      <c r="M34" t="s">
        <v>106</v>
      </c>
      <c r="N34" t="s">
        <v>349</v>
      </c>
      <c r="O34" t="s">
        <v>350</v>
      </c>
      <c r="P34" t="s">
        <v>110</v>
      </c>
      <c r="Q34" t="s">
        <v>64</v>
      </c>
      <c r="R34">
        <v>249000</v>
      </c>
      <c r="S34">
        <v>6.4000000000000003E-3</v>
      </c>
      <c r="T34">
        <v>1593.6</v>
      </c>
      <c r="U34">
        <v>1</v>
      </c>
      <c r="V34">
        <v>6.4000000000000003E-3</v>
      </c>
      <c r="W34">
        <v>1593.6</v>
      </c>
      <c r="X34" t="s">
        <v>13</v>
      </c>
      <c r="Y34" t="s">
        <v>25</v>
      </c>
      <c r="Z34" t="s">
        <v>118</v>
      </c>
      <c r="AA34">
        <v>342000732</v>
      </c>
      <c r="AB34" t="s">
        <v>171</v>
      </c>
    </row>
    <row r="35" spans="1:28" x14ac:dyDescent="0.35">
      <c r="A35" t="s">
        <v>356</v>
      </c>
      <c r="B35">
        <v>22542</v>
      </c>
      <c r="C35">
        <v>345101058</v>
      </c>
      <c r="D35" s="1">
        <v>46239</v>
      </c>
      <c r="E35" t="s">
        <v>71</v>
      </c>
      <c r="F35" t="s">
        <v>165</v>
      </c>
      <c r="G35" t="s">
        <v>45</v>
      </c>
      <c r="H35" t="s">
        <v>357</v>
      </c>
      <c r="I35" t="s">
        <v>358</v>
      </c>
      <c r="J35">
        <v>4190089447</v>
      </c>
      <c r="K35" s="1">
        <v>46225</v>
      </c>
      <c r="L35" s="1">
        <v>46239</v>
      </c>
      <c r="M35" t="s">
        <v>106</v>
      </c>
      <c r="N35" t="s">
        <v>349</v>
      </c>
      <c r="O35" t="s">
        <v>350</v>
      </c>
      <c r="P35" t="s">
        <v>110</v>
      </c>
      <c r="Q35" t="s">
        <v>64</v>
      </c>
      <c r="R35">
        <v>249000</v>
      </c>
      <c r="S35">
        <v>6.4000000000000003E-3</v>
      </c>
      <c r="T35">
        <v>1593.6</v>
      </c>
      <c r="U35">
        <v>1</v>
      </c>
      <c r="V35">
        <v>6.4000000000000003E-3</v>
      </c>
      <c r="W35">
        <v>1593.6</v>
      </c>
      <c r="X35" t="s">
        <v>13</v>
      </c>
      <c r="Y35" t="s">
        <v>25</v>
      </c>
      <c r="Z35" t="s">
        <v>118</v>
      </c>
      <c r="AA35">
        <v>342000732</v>
      </c>
      <c r="AB35" t="s">
        <v>171</v>
      </c>
    </row>
    <row r="36" spans="1:28" x14ac:dyDescent="0.35">
      <c r="A36" t="s">
        <v>356</v>
      </c>
      <c r="B36">
        <v>22542</v>
      </c>
      <c r="C36">
        <v>345101058</v>
      </c>
      <c r="D36" s="1">
        <v>46239</v>
      </c>
      <c r="E36" t="s">
        <v>71</v>
      </c>
      <c r="F36" t="s">
        <v>165</v>
      </c>
      <c r="G36" t="s">
        <v>45</v>
      </c>
      <c r="H36" t="s">
        <v>357</v>
      </c>
      <c r="I36" t="s">
        <v>358</v>
      </c>
      <c r="J36">
        <v>4190086984</v>
      </c>
      <c r="K36" s="1">
        <v>46225</v>
      </c>
      <c r="L36" s="1">
        <v>46239</v>
      </c>
      <c r="M36" t="s">
        <v>106</v>
      </c>
      <c r="N36" t="s">
        <v>351</v>
      </c>
      <c r="O36" t="s">
        <v>352</v>
      </c>
      <c r="P36" t="s">
        <v>39</v>
      </c>
      <c r="Q36" t="s">
        <v>55</v>
      </c>
      <c r="R36">
        <v>28000</v>
      </c>
      <c r="S36">
        <v>7.0000000000000007E-2</v>
      </c>
      <c r="T36">
        <v>1960</v>
      </c>
      <c r="U36">
        <v>1</v>
      </c>
      <c r="V36">
        <v>7.0000000000000007E-2</v>
      </c>
      <c r="W36">
        <v>1960</v>
      </c>
      <c r="X36" t="s">
        <v>13</v>
      </c>
      <c r="Y36" t="s">
        <v>25</v>
      </c>
      <c r="Z36" t="s">
        <v>118</v>
      </c>
      <c r="AA36">
        <v>342000024</v>
      </c>
      <c r="AB36" t="s">
        <v>171</v>
      </c>
    </row>
    <row r="37" spans="1:28" x14ac:dyDescent="0.35">
      <c r="A37" t="s">
        <v>356</v>
      </c>
      <c r="B37">
        <v>22542</v>
      </c>
      <c r="C37">
        <v>345101058</v>
      </c>
      <c r="D37" s="1">
        <v>46239</v>
      </c>
      <c r="E37" t="s">
        <v>71</v>
      </c>
      <c r="F37" t="s">
        <v>165</v>
      </c>
      <c r="G37" t="s">
        <v>45</v>
      </c>
      <c r="H37" t="s">
        <v>357</v>
      </c>
      <c r="I37" t="s">
        <v>358</v>
      </c>
      <c r="J37">
        <v>4190086984</v>
      </c>
      <c r="K37" s="1">
        <v>46225</v>
      </c>
      <c r="L37" s="1">
        <v>46239</v>
      </c>
      <c r="M37" t="s">
        <v>106</v>
      </c>
      <c r="N37" t="s">
        <v>351</v>
      </c>
      <c r="O37" t="s">
        <v>352</v>
      </c>
      <c r="P37" t="s">
        <v>39</v>
      </c>
      <c r="Q37" t="s">
        <v>55</v>
      </c>
      <c r="R37">
        <v>29000</v>
      </c>
      <c r="S37">
        <v>7.0000000000000007E-2</v>
      </c>
      <c r="T37">
        <v>2030</v>
      </c>
      <c r="U37">
        <v>1</v>
      </c>
      <c r="V37">
        <v>7.0000000000000007E-2</v>
      </c>
      <c r="W37">
        <v>2030</v>
      </c>
      <c r="X37" t="s">
        <v>13</v>
      </c>
      <c r="Y37" t="s">
        <v>25</v>
      </c>
      <c r="Z37" t="s">
        <v>118</v>
      </c>
      <c r="AA37">
        <v>342000024</v>
      </c>
      <c r="AB37" t="s">
        <v>171</v>
      </c>
    </row>
    <row r="38" spans="1:28" x14ac:dyDescent="0.35">
      <c r="A38" t="s">
        <v>356</v>
      </c>
      <c r="B38">
        <v>22542</v>
      </c>
      <c r="C38">
        <v>345101058</v>
      </c>
      <c r="D38" s="1">
        <v>46239</v>
      </c>
      <c r="E38" t="s">
        <v>71</v>
      </c>
      <c r="F38" t="s">
        <v>165</v>
      </c>
      <c r="G38" t="s">
        <v>45</v>
      </c>
      <c r="H38" t="s">
        <v>357</v>
      </c>
      <c r="I38" t="s">
        <v>358</v>
      </c>
      <c r="J38">
        <v>4190086984</v>
      </c>
      <c r="K38" s="1">
        <v>46225</v>
      </c>
      <c r="L38" s="1">
        <v>46239</v>
      </c>
      <c r="M38" t="s">
        <v>106</v>
      </c>
      <c r="N38" t="s">
        <v>351</v>
      </c>
      <c r="O38" t="s">
        <v>352</v>
      </c>
      <c r="P38" t="s">
        <v>39</v>
      </c>
      <c r="Q38" t="s">
        <v>55</v>
      </c>
      <c r="R38">
        <v>20000</v>
      </c>
      <c r="S38">
        <v>7.0000000000000007E-2</v>
      </c>
      <c r="T38">
        <v>1400</v>
      </c>
      <c r="U38">
        <v>1</v>
      </c>
      <c r="V38">
        <v>7.0000000000000007E-2</v>
      </c>
      <c r="W38">
        <v>1400</v>
      </c>
      <c r="X38" t="s">
        <v>13</v>
      </c>
      <c r="Y38" t="s">
        <v>25</v>
      </c>
      <c r="Z38" t="s">
        <v>118</v>
      </c>
      <c r="AA38">
        <v>342000024</v>
      </c>
      <c r="AB38" t="s">
        <v>171</v>
      </c>
    </row>
    <row r="39" spans="1:28" x14ac:dyDescent="0.35">
      <c r="A39" t="s">
        <v>356</v>
      </c>
      <c r="B39">
        <v>22542</v>
      </c>
      <c r="C39">
        <v>345101058</v>
      </c>
      <c r="D39" s="1">
        <v>46239</v>
      </c>
      <c r="E39" t="s">
        <v>71</v>
      </c>
      <c r="F39" t="s">
        <v>165</v>
      </c>
      <c r="G39" t="s">
        <v>45</v>
      </c>
      <c r="H39" t="s">
        <v>357</v>
      </c>
      <c r="I39" t="s">
        <v>358</v>
      </c>
      <c r="J39">
        <v>4190088874</v>
      </c>
      <c r="K39" s="1">
        <v>46225</v>
      </c>
      <c r="L39" s="1">
        <v>46239</v>
      </c>
      <c r="M39" t="s">
        <v>106</v>
      </c>
      <c r="N39" t="s">
        <v>351</v>
      </c>
      <c r="O39" t="s">
        <v>352</v>
      </c>
      <c r="P39" t="s">
        <v>39</v>
      </c>
      <c r="Q39" t="s">
        <v>55</v>
      </c>
      <c r="R39">
        <v>23000</v>
      </c>
      <c r="S39">
        <v>7.0000000000000007E-2</v>
      </c>
      <c r="T39">
        <v>1610</v>
      </c>
      <c r="U39">
        <v>1</v>
      </c>
      <c r="V39">
        <v>7.0000000000000007E-2</v>
      </c>
      <c r="W39">
        <v>1610</v>
      </c>
      <c r="X39" t="s">
        <v>13</v>
      </c>
      <c r="Y39" t="s">
        <v>25</v>
      </c>
      <c r="Z39" t="s">
        <v>118</v>
      </c>
      <c r="AA39">
        <v>342000733</v>
      </c>
      <c r="AB39" t="s">
        <v>171</v>
      </c>
    </row>
    <row r="40" spans="1:28" x14ac:dyDescent="0.35">
      <c r="A40" t="s">
        <v>356</v>
      </c>
      <c r="B40">
        <v>22542</v>
      </c>
      <c r="C40">
        <v>345101058</v>
      </c>
      <c r="D40" s="1">
        <v>46239</v>
      </c>
      <c r="E40" t="s">
        <v>71</v>
      </c>
      <c r="F40" t="s">
        <v>165</v>
      </c>
      <c r="G40" t="s">
        <v>45</v>
      </c>
      <c r="H40" t="s">
        <v>357</v>
      </c>
      <c r="I40" t="s">
        <v>358</v>
      </c>
      <c r="J40">
        <v>4190088874</v>
      </c>
      <c r="K40" s="1">
        <v>46225</v>
      </c>
      <c r="L40" s="1">
        <v>46239</v>
      </c>
      <c r="M40" t="s">
        <v>106</v>
      </c>
      <c r="N40" t="s">
        <v>351</v>
      </c>
      <c r="O40" t="s">
        <v>352</v>
      </c>
      <c r="P40" t="s">
        <v>39</v>
      </c>
      <c r="Q40" t="s">
        <v>55</v>
      </c>
      <c r="R40">
        <v>200000</v>
      </c>
      <c r="S40">
        <v>7.0000000000000007E-2</v>
      </c>
      <c r="T40">
        <v>14000</v>
      </c>
      <c r="U40">
        <v>1</v>
      </c>
      <c r="V40">
        <v>7.0000000000000007E-2</v>
      </c>
      <c r="W40">
        <v>14000</v>
      </c>
      <c r="X40" t="s">
        <v>13</v>
      </c>
      <c r="Y40" t="s">
        <v>25</v>
      </c>
      <c r="Z40" t="s">
        <v>118</v>
      </c>
      <c r="AA40">
        <v>342000733</v>
      </c>
      <c r="AB40" t="s">
        <v>171</v>
      </c>
    </row>
    <row r="41" spans="1:28" x14ac:dyDescent="0.35">
      <c r="A41" t="s">
        <v>356</v>
      </c>
      <c r="B41">
        <v>22827</v>
      </c>
      <c r="C41">
        <v>345101252</v>
      </c>
      <c r="D41" s="1">
        <v>46240</v>
      </c>
      <c r="E41" t="s">
        <v>372</v>
      </c>
      <c r="F41" t="s">
        <v>373</v>
      </c>
      <c r="G41" t="s">
        <v>373</v>
      </c>
      <c r="H41" t="s">
        <v>374</v>
      </c>
      <c r="I41" t="s">
        <v>375</v>
      </c>
      <c r="J41">
        <v>7000001195</v>
      </c>
      <c r="K41" s="1">
        <v>46233</v>
      </c>
      <c r="L41" s="1">
        <v>46240</v>
      </c>
      <c r="M41" t="s">
        <v>106</v>
      </c>
      <c r="N41" t="s">
        <v>376</v>
      </c>
      <c r="O41">
        <v>314000283</v>
      </c>
      <c r="P41" t="s">
        <v>61</v>
      </c>
      <c r="Q41" t="s">
        <v>57</v>
      </c>
      <c r="R41">
        <v>5000</v>
      </c>
      <c r="S41">
        <v>2.61</v>
      </c>
      <c r="T41">
        <v>13050</v>
      </c>
      <c r="U41">
        <v>1</v>
      </c>
      <c r="V41">
        <v>2.61</v>
      </c>
      <c r="W41">
        <v>13050</v>
      </c>
      <c r="X41" t="s">
        <v>13</v>
      </c>
      <c r="Y41" t="s">
        <v>14</v>
      </c>
      <c r="Z41" t="s">
        <v>118</v>
      </c>
      <c r="AA41">
        <v>341002623</v>
      </c>
    </row>
    <row r="42" spans="1:28" x14ac:dyDescent="0.35">
      <c r="A42" t="s">
        <v>356</v>
      </c>
      <c r="B42">
        <v>22827</v>
      </c>
      <c r="C42">
        <v>345101252</v>
      </c>
      <c r="D42" s="1">
        <v>46240</v>
      </c>
      <c r="E42" t="s">
        <v>372</v>
      </c>
      <c r="F42" t="s">
        <v>373</v>
      </c>
      <c r="G42" t="s">
        <v>373</v>
      </c>
      <c r="H42" t="s">
        <v>374</v>
      </c>
      <c r="I42" t="s">
        <v>375</v>
      </c>
      <c r="J42">
        <v>7000001435</v>
      </c>
      <c r="K42" s="1">
        <v>46233</v>
      </c>
      <c r="L42" s="1">
        <v>46240</v>
      </c>
      <c r="M42" t="s">
        <v>106</v>
      </c>
      <c r="N42" t="s">
        <v>376</v>
      </c>
      <c r="O42">
        <v>314000283</v>
      </c>
      <c r="P42" t="s">
        <v>61</v>
      </c>
      <c r="Q42" t="s">
        <v>57</v>
      </c>
      <c r="R42">
        <v>5000</v>
      </c>
      <c r="S42">
        <v>2.61</v>
      </c>
      <c r="T42">
        <v>13050</v>
      </c>
      <c r="U42">
        <v>1</v>
      </c>
      <c r="V42">
        <v>2.61</v>
      </c>
      <c r="W42">
        <v>13050</v>
      </c>
      <c r="X42" t="s">
        <v>13</v>
      </c>
      <c r="Y42" t="s">
        <v>14</v>
      </c>
      <c r="Z42" t="s">
        <v>118</v>
      </c>
      <c r="AA42">
        <v>341003608</v>
      </c>
    </row>
    <row r="43" spans="1:28" x14ac:dyDescent="0.35">
      <c r="A43" t="s">
        <v>356</v>
      </c>
      <c r="B43">
        <v>22599</v>
      </c>
      <c r="C43">
        <v>345101100</v>
      </c>
      <c r="D43" s="1">
        <v>46240</v>
      </c>
      <c r="E43" t="s">
        <v>377</v>
      </c>
      <c r="F43" t="s">
        <v>378</v>
      </c>
      <c r="G43" t="s">
        <v>378</v>
      </c>
      <c r="H43" t="s">
        <v>357</v>
      </c>
      <c r="I43" t="s">
        <v>379</v>
      </c>
      <c r="J43" t="s">
        <v>380</v>
      </c>
      <c r="K43" s="1">
        <v>46226</v>
      </c>
      <c r="L43" s="1">
        <v>46240</v>
      </c>
      <c r="M43" t="s">
        <v>106</v>
      </c>
      <c r="N43" t="s">
        <v>381</v>
      </c>
      <c r="O43" t="s">
        <v>381</v>
      </c>
      <c r="P43" t="s">
        <v>60</v>
      </c>
      <c r="Q43" t="s">
        <v>55</v>
      </c>
      <c r="R43">
        <v>84000</v>
      </c>
      <c r="S43">
        <v>4.2500000000000003E-2</v>
      </c>
      <c r="T43">
        <v>3570</v>
      </c>
      <c r="U43">
        <v>1</v>
      </c>
      <c r="V43">
        <v>4.2500000000000003E-2</v>
      </c>
      <c r="W43">
        <v>3570</v>
      </c>
      <c r="X43" t="s">
        <v>13</v>
      </c>
      <c r="Y43" t="s">
        <v>21</v>
      </c>
      <c r="Z43" t="s">
        <v>118</v>
      </c>
      <c r="AA43">
        <v>341002831</v>
      </c>
      <c r="AB43" t="s">
        <v>382</v>
      </c>
    </row>
    <row r="44" spans="1:28" x14ac:dyDescent="0.35">
      <c r="A44" t="s">
        <v>356</v>
      </c>
      <c r="B44">
        <v>22599</v>
      </c>
      <c r="C44">
        <v>345101100</v>
      </c>
      <c r="D44" s="1">
        <v>46240</v>
      </c>
      <c r="E44" t="s">
        <v>377</v>
      </c>
      <c r="F44" t="s">
        <v>378</v>
      </c>
      <c r="G44" t="s">
        <v>378</v>
      </c>
      <c r="H44" t="s">
        <v>357</v>
      </c>
      <c r="I44" t="s">
        <v>379</v>
      </c>
      <c r="J44" t="s">
        <v>380</v>
      </c>
      <c r="K44" s="1">
        <v>46226</v>
      </c>
      <c r="L44" s="1">
        <v>46240</v>
      </c>
      <c r="M44" t="s">
        <v>106</v>
      </c>
      <c r="N44" t="s">
        <v>381</v>
      </c>
      <c r="O44" t="s">
        <v>381</v>
      </c>
      <c r="P44" t="s">
        <v>60</v>
      </c>
      <c r="Q44" t="s">
        <v>55</v>
      </c>
      <c r="R44">
        <v>71000</v>
      </c>
      <c r="S44">
        <v>4.2500000000000003E-2</v>
      </c>
      <c r="T44">
        <v>3017.5</v>
      </c>
      <c r="U44">
        <v>1</v>
      </c>
      <c r="V44">
        <v>4.2500000000000003E-2</v>
      </c>
      <c r="W44">
        <v>3017.5</v>
      </c>
      <c r="X44" t="s">
        <v>13</v>
      </c>
      <c r="Y44" t="s">
        <v>21</v>
      </c>
      <c r="Z44" t="s">
        <v>118</v>
      </c>
      <c r="AA44">
        <v>341002831</v>
      </c>
      <c r="AB44" t="s">
        <v>382</v>
      </c>
    </row>
    <row r="45" spans="1:28" x14ac:dyDescent="0.35">
      <c r="A45" t="s">
        <v>356</v>
      </c>
      <c r="B45">
        <v>22599</v>
      </c>
      <c r="C45">
        <v>345101100</v>
      </c>
      <c r="D45" s="1">
        <v>46240</v>
      </c>
      <c r="E45" t="s">
        <v>377</v>
      </c>
      <c r="F45" t="s">
        <v>378</v>
      </c>
      <c r="G45" t="s">
        <v>378</v>
      </c>
      <c r="H45" t="s">
        <v>357</v>
      </c>
      <c r="I45" t="s">
        <v>379</v>
      </c>
      <c r="J45" t="s">
        <v>380</v>
      </c>
      <c r="K45" s="1">
        <v>46226</v>
      </c>
      <c r="L45" s="1">
        <v>46240</v>
      </c>
      <c r="M45" t="s">
        <v>106</v>
      </c>
      <c r="N45" t="s">
        <v>383</v>
      </c>
      <c r="O45" t="s">
        <v>383</v>
      </c>
      <c r="P45" t="s">
        <v>60</v>
      </c>
      <c r="Q45" t="s">
        <v>55</v>
      </c>
      <c r="R45">
        <v>105000</v>
      </c>
      <c r="S45">
        <v>0.188</v>
      </c>
      <c r="T45">
        <v>19740</v>
      </c>
      <c r="U45">
        <v>1</v>
      </c>
      <c r="V45">
        <v>0.188</v>
      </c>
      <c r="W45">
        <v>19740</v>
      </c>
      <c r="X45" t="s">
        <v>13</v>
      </c>
      <c r="Y45" t="s">
        <v>21</v>
      </c>
      <c r="Z45" t="s">
        <v>118</v>
      </c>
      <c r="AA45">
        <v>341002831</v>
      </c>
      <c r="AB45" t="s">
        <v>382</v>
      </c>
    </row>
    <row r="46" spans="1:28" x14ac:dyDescent="0.35">
      <c r="A46" t="s">
        <v>356</v>
      </c>
      <c r="B46">
        <v>22599</v>
      </c>
      <c r="C46">
        <v>345101100</v>
      </c>
      <c r="D46" s="1">
        <v>46240</v>
      </c>
      <c r="E46" t="s">
        <v>377</v>
      </c>
      <c r="F46" t="s">
        <v>378</v>
      </c>
      <c r="G46" t="s">
        <v>378</v>
      </c>
      <c r="H46" t="s">
        <v>357</v>
      </c>
      <c r="I46" t="s">
        <v>379</v>
      </c>
      <c r="J46" t="s">
        <v>380</v>
      </c>
      <c r="K46" s="1">
        <v>46226</v>
      </c>
      <c r="L46" s="1">
        <v>46240</v>
      </c>
      <c r="M46" t="s">
        <v>106</v>
      </c>
      <c r="N46" t="s">
        <v>383</v>
      </c>
      <c r="O46" t="s">
        <v>383</v>
      </c>
      <c r="P46" t="s">
        <v>60</v>
      </c>
      <c r="Q46" t="s">
        <v>55</v>
      </c>
      <c r="R46">
        <v>30000</v>
      </c>
      <c r="S46">
        <v>0.188</v>
      </c>
      <c r="T46">
        <v>5640</v>
      </c>
      <c r="U46">
        <v>1</v>
      </c>
      <c r="V46">
        <v>0.188</v>
      </c>
      <c r="W46">
        <v>5640</v>
      </c>
      <c r="X46" t="s">
        <v>13</v>
      </c>
      <c r="Y46" t="s">
        <v>21</v>
      </c>
      <c r="Z46" t="s">
        <v>118</v>
      </c>
      <c r="AA46">
        <v>341002831</v>
      </c>
      <c r="AB46" t="s">
        <v>382</v>
      </c>
    </row>
    <row r="47" spans="1:28" x14ac:dyDescent="0.35">
      <c r="A47" t="s">
        <v>356</v>
      </c>
      <c r="B47">
        <v>22599</v>
      </c>
      <c r="C47">
        <v>345101100</v>
      </c>
      <c r="D47" s="1">
        <v>46240</v>
      </c>
      <c r="E47" t="s">
        <v>377</v>
      </c>
      <c r="F47" t="s">
        <v>378</v>
      </c>
      <c r="G47" t="s">
        <v>378</v>
      </c>
      <c r="H47" t="s">
        <v>357</v>
      </c>
      <c r="I47" t="s">
        <v>379</v>
      </c>
      <c r="J47" t="s">
        <v>380</v>
      </c>
      <c r="K47" s="1">
        <v>46226</v>
      </c>
      <c r="L47" s="1">
        <v>46240</v>
      </c>
      <c r="M47" t="s">
        <v>106</v>
      </c>
      <c r="N47" t="s">
        <v>384</v>
      </c>
      <c r="O47" t="s">
        <v>384</v>
      </c>
      <c r="P47" t="s">
        <v>60</v>
      </c>
      <c r="Q47" t="s">
        <v>55</v>
      </c>
      <c r="R47">
        <v>200000</v>
      </c>
      <c r="S47">
        <v>0.06</v>
      </c>
      <c r="T47">
        <v>12000</v>
      </c>
      <c r="U47">
        <v>1</v>
      </c>
      <c r="V47">
        <v>0.06</v>
      </c>
      <c r="W47">
        <v>12000</v>
      </c>
      <c r="X47" t="s">
        <v>13</v>
      </c>
      <c r="Y47" t="s">
        <v>21</v>
      </c>
      <c r="Z47" t="s">
        <v>118</v>
      </c>
      <c r="AA47">
        <v>341002831</v>
      </c>
      <c r="AB47" t="s">
        <v>382</v>
      </c>
    </row>
    <row r="48" spans="1:28" x14ac:dyDescent="0.35">
      <c r="A48" t="s">
        <v>356</v>
      </c>
      <c r="B48">
        <v>22599</v>
      </c>
      <c r="C48">
        <v>345101100</v>
      </c>
      <c r="D48" s="1">
        <v>46240</v>
      </c>
      <c r="E48" t="s">
        <v>377</v>
      </c>
      <c r="F48" t="s">
        <v>378</v>
      </c>
      <c r="G48" t="s">
        <v>378</v>
      </c>
      <c r="H48" t="s">
        <v>357</v>
      </c>
      <c r="I48" t="s">
        <v>379</v>
      </c>
      <c r="J48" t="s">
        <v>380</v>
      </c>
      <c r="K48" s="1">
        <v>46226</v>
      </c>
      <c r="L48" s="1">
        <v>46240</v>
      </c>
      <c r="M48" t="s">
        <v>106</v>
      </c>
      <c r="N48" t="s">
        <v>384</v>
      </c>
      <c r="O48" t="s">
        <v>384</v>
      </c>
      <c r="P48" t="s">
        <v>60</v>
      </c>
      <c r="Q48" t="s">
        <v>55</v>
      </c>
      <c r="R48">
        <v>177000</v>
      </c>
      <c r="S48">
        <v>0.06</v>
      </c>
      <c r="T48">
        <v>10620</v>
      </c>
      <c r="U48">
        <v>1</v>
      </c>
      <c r="V48">
        <v>0.06</v>
      </c>
      <c r="W48">
        <v>10620</v>
      </c>
      <c r="X48" t="s">
        <v>13</v>
      </c>
      <c r="Y48" t="s">
        <v>21</v>
      </c>
      <c r="Z48" t="s">
        <v>118</v>
      </c>
      <c r="AA48">
        <v>341002831</v>
      </c>
      <c r="AB48" t="s">
        <v>382</v>
      </c>
    </row>
    <row r="49" spans="1:28" x14ac:dyDescent="0.35">
      <c r="A49" t="s">
        <v>356</v>
      </c>
      <c r="B49">
        <v>22890</v>
      </c>
      <c r="C49">
        <v>345101284</v>
      </c>
      <c r="D49" s="1">
        <v>46241</v>
      </c>
      <c r="E49" t="s">
        <v>385</v>
      </c>
      <c r="F49" t="s">
        <v>386</v>
      </c>
      <c r="G49" t="s">
        <v>387</v>
      </c>
      <c r="H49" t="s">
        <v>369</v>
      </c>
      <c r="I49" t="s">
        <v>388</v>
      </c>
      <c r="J49">
        <v>1029001422</v>
      </c>
      <c r="K49" s="1">
        <v>46237</v>
      </c>
      <c r="L49" s="1">
        <v>46241</v>
      </c>
      <c r="M49" t="s">
        <v>106</v>
      </c>
      <c r="N49" t="s">
        <v>389</v>
      </c>
      <c r="O49" t="s">
        <v>390</v>
      </c>
      <c r="P49" t="s">
        <v>391</v>
      </c>
      <c r="Q49" t="s">
        <v>55</v>
      </c>
      <c r="R49">
        <v>5000</v>
      </c>
      <c r="S49">
        <v>4.3E-3</v>
      </c>
      <c r="T49">
        <v>21.75</v>
      </c>
      <c r="U49">
        <v>1</v>
      </c>
      <c r="V49">
        <v>4.3E-3</v>
      </c>
      <c r="W49">
        <v>21.75</v>
      </c>
      <c r="X49" t="s">
        <v>11</v>
      </c>
      <c r="Y49" t="s">
        <v>14</v>
      </c>
      <c r="Z49" t="s">
        <v>118</v>
      </c>
      <c r="AA49">
        <v>232400933</v>
      </c>
      <c r="AB49" t="s">
        <v>164</v>
      </c>
    </row>
    <row r="50" spans="1:28" x14ac:dyDescent="0.35">
      <c r="A50" t="s">
        <v>356</v>
      </c>
      <c r="B50">
        <v>22962</v>
      </c>
      <c r="C50">
        <v>345101325</v>
      </c>
      <c r="D50" s="1">
        <v>46241</v>
      </c>
      <c r="E50" t="s">
        <v>392</v>
      </c>
      <c r="F50" t="s">
        <v>136</v>
      </c>
      <c r="G50" t="s">
        <v>136</v>
      </c>
      <c r="H50" t="s">
        <v>374</v>
      </c>
      <c r="I50" t="s">
        <v>375</v>
      </c>
      <c r="J50" t="s">
        <v>393</v>
      </c>
      <c r="K50" s="1">
        <v>46239</v>
      </c>
      <c r="L50" s="1">
        <v>46241</v>
      </c>
      <c r="M50" t="s">
        <v>106</v>
      </c>
      <c r="N50" t="s">
        <v>394</v>
      </c>
      <c r="O50" t="s">
        <v>395</v>
      </c>
      <c r="P50" t="s">
        <v>396</v>
      </c>
      <c r="Q50" t="s">
        <v>55</v>
      </c>
      <c r="R50">
        <v>1000</v>
      </c>
      <c r="S50">
        <v>0.05</v>
      </c>
      <c r="T50">
        <v>50</v>
      </c>
      <c r="U50">
        <v>1</v>
      </c>
      <c r="V50">
        <v>0.05</v>
      </c>
      <c r="W50">
        <v>50</v>
      </c>
      <c r="X50" t="s">
        <v>13</v>
      </c>
      <c r="Y50" t="s">
        <v>23</v>
      </c>
      <c r="Z50" t="s">
        <v>397</v>
      </c>
      <c r="AA50">
        <v>341003558</v>
      </c>
      <c r="AB50" t="s">
        <v>164</v>
      </c>
    </row>
    <row r="51" spans="1:28" x14ac:dyDescent="0.35">
      <c r="A51" t="s">
        <v>356</v>
      </c>
      <c r="B51">
        <v>22962</v>
      </c>
      <c r="C51">
        <v>345101325</v>
      </c>
      <c r="D51" s="1">
        <v>46241</v>
      </c>
      <c r="E51" t="s">
        <v>392</v>
      </c>
      <c r="F51" t="s">
        <v>136</v>
      </c>
      <c r="G51" t="s">
        <v>136</v>
      </c>
      <c r="H51" t="s">
        <v>374</v>
      </c>
      <c r="I51" t="s">
        <v>375</v>
      </c>
      <c r="J51" t="s">
        <v>393</v>
      </c>
      <c r="K51" s="1">
        <v>46239</v>
      </c>
      <c r="L51" s="1">
        <v>46241</v>
      </c>
      <c r="M51" t="s">
        <v>106</v>
      </c>
      <c r="N51" t="s">
        <v>398</v>
      </c>
      <c r="O51" t="s">
        <v>399</v>
      </c>
      <c r="P51" t="s">
        <v>396</v>
      </c>
      <c r="Q51" t="s">
        <v>55</v>
      </c>
      <c r="R51">
        <v>1000</v>
      </c>
      <c r="S51">
        <v>3.2500000000000001E-2</v>
      </c>
      <c r="T51">
        <v>32.5</v>
      </c>
      <c r="U51">
        <v>1</v>
      </c>
      <c r="V51">
        <v>3.2500000000000001E-2</v>
      </c>
      <c r="W51">
        <v>32.5</v>
      </c>
      <c r="X51" t="s">
        <v>13</v>
      </c>
      <c r="Y51" t="s">
        <v>23</v>
      </c>
      <c r="Z51" t="s">
        <v>397</v>
      </c>
      <c r="AA51">
        <v>341003558</v>
      </c>
      <c r="AB51" t="s">
        <v>164</v>
      </c>
    </row>
    <row r="52" spans="1:28" x14ac:dyDescent="0.35">
      <c r="A52" t="s">
        <v>356</v>
      </c>
      <c r="B52">
        <v>22962</v>
      </c>
      <c r="C52">
        <v>345101325</v>
      </c>
      <c r="D52" s="1">
        <v>46241</v>
      </c>
      <c r="E52" t="s">
        <v>392</v>
      </c>
      <c r="F52" t="s">
        <v>136</v>
      </c>
      <c r="G52" t="s">
        <v>136</v>
      </c>
      <c r="H52" t="s">
        <v>374</v>
      </c>
      <c r="I52" t="s">
        <v>375</v>
      </c>
      <c r="J52" t="s">
        <v>393</v>
      </c>
      <c r="K52" s="1">
        <v>46239</v>
      </c>
      <c r="L52" s="1">
        <v>46241</v>
      </c>
      <c r="M52" t="s">
        <v>106</v>
      </c>
      <c r="N52" t="s">
        <v>400</v>
      </c>
      <c r="O52" t="s">
        <v>401</v>
      </c>
      <c r="P52" t="s">
        <v>402</v>
      </c>
      <c r="Q52" t="s">
        <v>55</v>
      </c>
      <c r="R52">
        <v>2000</v>
      </c>
      <c r="S52">
        <v>0.13700000000000001</v>
      </c>
      <c r="T52">
        <v>274</v>
      </c>
      <c r="U52">
        <v>1</v>
      </c>
      <c r="V52">
        <v>0.13700000000000001</v>
      </c>
      <c r="W52">
        <v>274</v>
      </c>
      <c r="X52" t="s">
        <v>13</v>
      </c>
      <c r="Y52" t="s">
        <v>23</v>
      </c>
      <c r="Z52" t="s">
        <v>397</v>
      </c>
      <c r="AA52">
        <v>341003558</v>
      </c>
      <c r="AB52" t="s">
        <v>164</v>
      </c>
    </row>
    <row r="53" spans="1:28" x14ac:dyDescent="0.35">
      <c r="A53" t="s">
        <v>356</v>
      </c>
      <c r="B53">
        <v>22962</v>
      </c>
      <c r="C53">
        <v>345101325</v>
      </c>
      <c r="D53" s="1">
        <v>46241</v>
      </c>
      <c r="E53" t="s">
        <v>392</v>
      </c>
      <c r="F53" t="s">
        <v>136</v>
      </c>
      <c r="G53" t="s">
        <v>136</v>
      </c>
      <c r="H53" t="s">
        <v>374</v>
      </c>
      <c r="I53" t="s">
        <v>375</v>
      </c>
      <c r="J53" t="s">
        <v>393</v>
      </c>
      <c r="K53" s="1">
        <v>46239</v>
      </c>
      <c r="L53" s="1">
        <v>46241</v>
      </c>
      <c r="M53" t="s">
        <v>106</v>
      </c>
      <c r="N53" t="s">
        <v>403</v>
      </c>
      <c r="O53" t="s">
        <v>404</v>
      </c>
      <c r="P53" t="s">
        <v>405</v>
      </c>
      <c r="Q53" t="s">
        <v>57</v>
      </c>
      <c r="R53">
        <v>1188</v>
      </c>
      <c r="S53">
        <v>0.34</v>
      </c>
      <c r="T53">
        <v>403.92</v>
      </c>
      <c r="U53">
        <v>1</v>
      </c>
      <c r="V53">
        <v>0.34</v>
      </c>
      <c r="W53">
        <v>403.92</v>
      </c>
      <c r="X53" t="s">
        <v>13</v>
      </c>
      <c r="Y53" t="s">
        <v>23</v>
      </c>
      <c r="Z53" t="s">
        <v>397</v>
      </c>
      <c r="AA53">
        <v>341003558</v>
      </c>
      <c r="AB53" t="s">
        <v>164</v>
      </c>
    </row>
    <row r="54" spans="1:28" x14ac:dyDescent="0.35">
      <c r="A54" t="s">
        <v>356</v>
      </c>
      <c r="B54">
        <v>22962</v>
      </c>
      <c r="C54">
        <v>345101325</v>
      </c>
      <c r="D54" s="1">
        <v>46241</v>
      </c>
      <c r="E54" t="s">
        <v>392</v>
      </c>
      <c r="F54" t="s">
        <v>136</v>
      </c>
      <c r="G54" t="s">
        <v>136</v>
      </c>
      <c r="H54" t="s">
        <v>374</v>
      </c>
      <c r="I54" t="s">
        <v>375</v>
      </c>
      <c r="J54" t="s">
        <v>393</v>
      </c>
      <c r="K54" s="1">
        <v>46239</v>
      </c>
      <c r="L54" s="1">
        <v>46241</v>
      </c>
      <c r="M54" t="s">
        <v>106</v>
      </c>
      <c r="N54" t="s">
        <v>406</v>
      </c>
      <c r="O54" t="s">
        <v>407</v>
      </c>
      <c r="P54" t="s">
        <v>60</v>
      </c>
      <c r="Q54" t="s">
        <v>55</v>
      </c>
      <c r="R54">
        <v>2000</v>
      </c>
      <c r="S54">
        <v>6.93E-2</v>
      </c>
      <c r="T54">
        <v>138.6</v>
      </c>
      <c r="U54">
        <v>1</v>
      </c>
      <c r="V54">
        <v>6.93E-2</v>
      </c>
      <c r="W54">
        <v>138.6</v>
      </c>
      <c r="X54" t="s">
        <v>13</v>
      </c>
      <c r="Y54" t="s">
        <v>23</v>
      </c>
      <c r="Z54" t="s">
        <v>397</v>
      </c>
      <c r="AA54">
        <v>341003558</v>
      </c>
      <c r="AB54" t="s">
        <v>164</v>
      </c>
    </row>
    <row r="55" spans="1:28" x14ac:dyDescent="0.35">
      <c r="A55" t="s">
        <v>356</v>
      </c>
      <c r="B55">
        <v>22962</v>
      </c>
      <c r="C55">
        <v>345101325</v>
      </c>
      <c r="D55" s="1">
        <v>46241</v>
      </c>
      <c r="E55" t="s">
        <v>392</v>
      </c>
      <c r="F55" t="s">
        <v>136</v>
      </c>
      <c r="G55" t="s">
        <v>136</v>
      </c>
      <c r="H55" t="s">
        <v>374</v>
      </c>
      <c r="I55" t="s">
        <v>375</v>
      </c>
      <c r="J55" t="s">
        <v>393</v>
      </c>
      <c r="K55" s="1">
        <v>46239</v>
      </c>
      <c r="L55" s="1">
        <v>46241</v>
      </c>
      <c r="M55" t="s">
        <v>106</v>
      </c>
      <c r="N55" t="s">
        <v>408</v>
      </c>
      <c r="O55" t="s">
        <v>409</v>
      </c>
      <c r="P55" t="s">
        <v>60</v>
      </c>
      <c r="Q55" t="s">
        <v>55</v>
      </c>
      <c r="R55">
        <v>1000</v>
      </c>
      <c r="S55">
        <v>6.9599999999999995E-2</v>
      </c>
      <c r="T55">
        <v>69.63</v>
      </c>
      <c r="U55">
        <v>1</v>
      </c>
      <c r="V55">
        <v>6.9599999999999995E-2</v>
      </c>
      <c r="W55">
        <v>69.63</v>
      </c>
      <c r="X55" t="s">
        <v>13</v>
      </c>
      <c r="Y55" t="s">
        <v>23</v>
      </c>
      <c r="Z55" t="s">
        <v>397</v>
      </c>
      <c r="AA55">
        <v>341003558</v>
      </c>
      <c r="AB55" t="s">
        <v>164</v>
      </c>
    </row>
    <row r="56" spans="1:28" x14ac:dyDescent="0.35">
      <c r="A56" t="s">
        <v>356</v>
      </c>
      <c r="B56">
        <v>22962</v>
      </c>
      <c r="C56">
        <v>345101325</v>
      </c>
      <c r="D56" s="1">
        <v>46241</v>
      </c>
      <c r="E56" t="s">
        <v>392</v>
      </c>
      <c r="F56" t="s">
        <v>136</v>
      </c>
      <c r="G56" t="s">
        <v>136</v>
      </c>
      <c r="H56" t="s">
        <v>374</v>
      </c>
      <c r="I56" t="s">
        <v>375</v>
      </c>
      <c r="J56" t="s">
        <v>393</v>
      </c>
      <c r="K56" s="1">
        <v>46239</v>
      </c>
      <c r="L56" s="1">
        <v>46241</v>
      </c>
      <c r="M56" t="s">
        <v>106</v>
      </c>
      <c r="N56" t="s">
        <v>410</v>
      </c>
      <c r="O56" t="s">
        <v>411</v>
      </c>
      <c r="P56" t="s">
        <v>60</v>
      </c>
      <c r="Q56" t="s">
        <v>55</v>
      </c>
      <c r="R56">
        <v>600</v>
      </c>
      <c r="S56">
        <v>6.7100000000000007E-2</v>
      </c>
      <c r="T56">
        <v>40.26</v>
      </c>
      <c r="U56">
        <v>1</v>
      </c>
      <c r="V56">
        <v>6.7100000000000007E-2</v>
      </c>
      <c r="W56">
        <v>40.26</v>
      </c>
      <c r="X56" t="s">
        <v>13</v>
      </c>
      <c r="Y56" t="s">
        <v>23</v>
      </c>
      <c r="Z56" t="s">
        <v>397</v>
      </c>
      <c r="AA56">
        <v>341003558</v>
      </c>
      <c r="AB56" t="s">
        <v>164</v>
      </c>
    </row>
    <row r="57" spans="1:28" x14ac:dyDescent="0.35">
      <c r="A57" t="s">
        <v>356</v>
      </c>
      <c r="B57">
        <v>22962</v>
      </c>
      <c r="C57">
        <v>345101325</v>
      </c>
      <c r="D57" s="1">
        <v>46241</v>
      </c>
      <c r="E57" t="s">
        <v>392</v>
      </c>
      <c r="F57" t="s">
        <v>136</v>
      </c>
      <c r="G57" t="s">
        <v>136</v>
      </c>
      <c r="H57" t="s">
        <v>374</v>
      </c>
      <c r="I57" t="s">
        <v>375</v>
      </c>
      <c r="J57" t="s">
        <v>393</v>
      </c>
      <c r="K57" s="1">
        <v>46239</v>
      </c>
      <c r="L57" s="1">
        <v>46241</v>
      </c>
      <c r="M57" t="s">
        <v>106</v>
      </c>
      <c r="N57" t="s">
        <v>412</v>
      </c>
      <c r="O57" t="s">
        <v>413</v>
      </c>
      <c r="P57" t="s">
        <v>60</v>
      </c>
      <c r="Q57" t="s">
        <v>55</v>
      </c>
      <c r="R57">
        <v>800</v>
      </c>
      <c r="S57">
        <v>0.22109999999999999</v>
      </c>
      <c r="T57">
        <v>176.88</v>
      </c>
      <c r="U57">
        <v>1</v>
      </c>
      <c r="V57">
        <v>0.22109999999999999</v>
      </c>
      <c r="W57">
        <v>176.88</v>
      </c>
      <c r="X57" t="s">
        <v>13</v>
      </c>
      <c r="Y57" t="s">
        <v>23</v>
      </c>
      <c r="Z57" t="s">
        <v>397</v>
      </c>
      <c r="AA57">
        <v>341003558</v>
      </c>
      <c r="AB57" t="s">
        <v>164</v>
      </c>
    </row>
    <row r="58" spans="1:28" x14ac:dyDescent="0.35">
      <c r="A58" t="s">
        <v>356</v>
      </c>
      <c r="B58">
        <v>22962</v>
      </c>
      <c r="C58">
        <v>345101325</v>
      </c>
      <c r="D58" s="1">
        <v>46241</v>
      </c>
      <c r="E58" t="s">
        <v>392</v>
      </c>
      <c r="F58" t="s">
        <v>136</v>
      </c>
      <c r="G58" t="s">
        <v>136</v>
      </c>
      <c r="H58" t="s">
        <v>374</v>
      </c>
      <c r="I58" t="s">
        <v>375</v>
      </c>
      <c r="J58" t="s">
        <v>393</v>
      </c>
      <c r="K58" s="1">
        <v>46239</v>
      </c>
      <c r="L58" s="1">
        <v>46241</v>
      </c>
      <c r="M58" t="s">
        <v>106</v>
      </c>
      <c r="N58" t="s">
        <v>414</v>
      </c>
      <c r="O58" t="s">
        <v>415</v>
      </c>
      <c r="P58" t="s">
        <v>60</v>
      </c>
      <c r="Q58" t="s">
        <v>55</v>
      </c>
      <c r="R58">
        <v>1000</v>
      </c>
      <c r="S58">
        <v>8.2500000000000004E-2</v>
      </c>
      <c r="T58">
        <v>82.5</v>
      </c>
      <c r="U58">
        <v>1</v>
      </c>
      <c r="V58">
        <v>8.2500000000000004E-2</v>
      </c>
      <c r="W58">
        <v>82.5</v>
      </c>
      <c r="X58" t="s">
        <v>13</v>
      </c>
      <c r="Y58" t="s">
        <v>23</v>
      </c>
      <c r="Z58" t="s">
        <v>397</v>
      </c>
      <c r="AA58">
        <v>341003558</v>
      </c>
      <c r="AB58" t="s">
        <v>164</v>
      </c>
    </row>
    <row r="59" spans="1:28" x14ac:dyDescent="0.35">
      <c r="A59" t="s">
        <v>356</v>
      </c>
      <c r="B59">
        <v>22985</v>
      </c>
      <c r="C59">
        <v>345101340</v>
      </c>
      <c r="D59" s="1">
        <v>46241</v>
      </c>
      <c r="E59" t="s">
        <v>392</v>
      </c>
      <c r="F59" t="s">
        <v>136</v>
      </c>
      <c r="G59" t="s">
        <v>136</v>
      </c>
      <c r="H59" t="s">
        <v>374</v>
      </c>
      <c r="I59" t="s">
        <v>375</v>
      </c>
      <c r="J59" t="s">
        <v>393</v>
      </c>
      <c r="K59" s="1">
        <v>46240</v>
      </c>
      <c r="L59" s="1">
        <v>46241</v>
      </c>
      <c r="M59" t="s">
        <v>106</v>
      </c>
      <c r="N59" t="s">
        <v>394</v>
      </c>
      <c r="O59" t="s">
        <v>395</v>
      </c>
      <c r="P59" t="s">
        <v>396</v>
      </c>
      <c r="Q59" t="s">
        <v>55</v>
      </c>
      <c r="R59">
        <v>100</v>
      </c>
      <c r="S59">
        <v>0.05</v>
      </c>
      <c r="T59">
        <v>5</v>
      </c>
      <c r="U59">
        <v>1</v>
      </c>
      <c r="V59">
        <v>0.05</v>
      </c>
      <c r="W59">
        <v>5</v>
      </c>
      <c r="X59" t="s">
        <v>13</v>
      </c>
      <c r="Y59" t="s">
        <v>23</v>
      </c>
      <c r="Z59" t="s">
        <v>118</v>
      </c>
      <c r="AA59">
        <v>341003558</v>
      </c>
      <c r="AB59" t="s">
        <v>164</v>
      </c>
    </row>
    <row r="60" spans="1:28" x14ac:dyDescent="0.35">
      <c r="A60" t="s">
        <v>356</v>
      </c>
      <c r="B60">
        <v>22985</v>
      </c>
      <c r="C60">
        <v>345101340</v>
      </c>
      <c r="D60" s="1">
        <v>46241</v>
      </c>
      <c r="E60" t="s">
        <v>392</v>
      </c>
      <c r="F60" t="s">
        <v>136</v>
      </c>
      <c r="G60" t="s">
        <v>136</v>
      </c>
      <c r="H60" t="s">
        <v>374</v>
      </c>
      <c r="I60" t="s">
        <v>375</v>
      </c>
      <c r="J60" t="s">
        <v>393</v>
      </c>
      <c r="K60" s="1">
        <v>46240</v>
      </c>
      <c r="L60" s="1">
        <v>46241</v>
      </c>
      <c r="M60" t="s">
        <v>106</v>
      </c>
      <c r="N60" t="s">
        <v>398</v>
      </c>
      <c r="O60" t="s">
        <v>399</v>
      </c>
      <c r="P60" t="s">
        <v>396</v>
      </c>
      <c r="Q60" t="s">
        <v>55</v>
      </c>
      <c r="R60">
        <v>40</v>
      </c>
      <c r="S60">
        <v>3.2500000000000001E-2</v>
      </c>
      <c r="T60">
        <v>1.3</v>
      </c>
      <c r="U60">
        <v>1</v>
      </c>
      <c r="V60">
        <v>3.2500000000000001E-2</v>
      </c>
      <c r="W60">
        <v>1.3</v>
      </c>
      <c r="X60" t="s">
        <v>13</v>
      </c>
      <c r="Y60" t="s">
        <v>23</v>
      </c>
      <c r="Z60" t="s">
        <v>118</v>
      </c>
      <c r="AA60">
        <v>341003558</v>
      </c>
      <c r="AB60" t="s">
        <v>164</v>
      </c>
    </row>
    <row r="61" spans="1:28" x14ac:dyDescent="0.35">
      <c r="A61" t="s">
        <v>356</v>
      </c>
      <c r="B61">
        <v>23017</v>
      </c>
      <c r="C61">
        <v>345101362</v>
      </c>
      <c r="D61" s="1">
        <v>46241</v>
      </c>
      <c r="E61" t="s">
        <v>416</v>
      </c>
      <c r="F61" t="s">
        <v>417</v>
      </c>
      <c r="G61" t="s">
        <v>417</v>
      </c>
      <c r="H61" t="s">
        <v>367</v>
      </c>
      <c r="I61" t="s">
        <v>418</v>
      </c>
      <c r="J61" t="s">
        <v>419</v>
      </c>
      <c r="K61" s="1">
        <v>46240</v>
      </c>
      <c r="L61" s="1">
        <v>46241</v>
      </c>
      <c r="M61" t="s">
        <v>106</v>
      </c>
      <c r="N61" t="s">
        <v>420</v>
      </c>
      <c r="O61" t="s">
        <v>421</v>
      </c>
      <c r="P61" t="s">
        <v>422</v>
      </c>
      <c r="Q61" t="s">
        <v>55</v>
      </c>
      <c r="R61">
        <v>6000</v>
      </c>
      <c r="S61">
        <v>0.316</v>
      </c>
      <c r="T61">
        <v>1896</v>
      </c>
      <c r="U61">
        <v>1</v>
      </c>
      <c r="V61">
        <v>0.316</v>
      </c>
      <c r="W61">
        <v>1896</v>
      </c>
      <c r="X61" t="s">
        <v>15</v>
      </c>
      <c r="Y61" t="s">
        <v>22</v>
      </c>
      <c r="Z61" t="s">
        <v>118</v>
      </c>
      <c r="AA61">
        <v>342000359</v>
      </c>
      <c r="AB61" t="s">
        <v>164</v>
      </c>
    </row>
    <row r="62" spans="1:28" x14ac:dyDescent="0.35">
      <c r="A62" t="s">
        <v>356</v>
      </c>
      <c r="B62">
        <v>23001</v>
      </c>
      <c r="C62">
        <v>345101354</v>
      </c>
      <c r="D62" s="1">
        <v>46241</v>
      </c>
      <c r="E62" t="s">
        <v>423</v>
      </c>
      <c r="F62" t="s">
        <v>197</v>
      </c>
      <c r="G62" t="s">
        <v>197</v>
      </c>
      <c r="H62" t="s">
        <v>359</v>
      </c>
      <c r="I62" t="s">
        <v>359</v>
      </c>
      <c r="J62" t="s">
        <v>424</v>
      </c>
      <c r="K62" s="1">
        <v>46240</v>
      </c>
      <c r="L62" s="1">
        <v>46241</v>
      </c>
      <c r="M62" t="s">
        <v>106</v>
      </c>
      <c r="N62" t="s">
        <v>425</v>
      </c>
      <c r="O62" t="s">
        <v>425</v>
      </c>
      <c r="P62" t="s">
        <v>39</v>
      </c>
      <c r="Q62" t="s">
        <v>55</v>
      </c>
      <c r="R62">
        <v>6000</v>
      </c>
      <c r="S62">
        <v>0.40250000000000002</v>
      </c>
      <c r="T62">
        <v>2415</v>
      </c>
      <c r="U62">
        <v>1</v>
      </c>
      <c r="V62">
        <v>0.40250000000000002</v>
      </c>
      <c r="W62">
        <v>2415</v>
      </c>
      <c r="X62" t="s">
        <v>15</v>
      </c>
      <c r="Y62" t="s">
        <v>14</v>
      </c>
      <c r="Z62" t="s">
        <v>118</v>
      </c>
      <c r="AA62">
        <v>341001363</v>
      </c>
      <c r="AB62" t="s">
        <v>164</v>
      </c>
    </row>
    <row r="63" spans="1:28" x14ac:dyDescent="0.35">
      <c r="A63" t="s">
        <v>356</v>
      </c>
      <c r="B63">
        <v>23001</v>
      </c>
      <c r="C63">
        <v>345101354</v>
      </c>
      <c r="D63" s="1">
        <v>46241</v>
      </c>
      <c r="E63" t="s">
        <v>423</v>
      </c>
      <c r="F63" t="s">
        <v>197</v>
      </c>
      <c r="G63" t="s">
        <v>197</v>
      </c>
      <c r="H63" t="s">
        <v>359</v>
      </c>
      <c r="I63" t="s">
        <v>359</v>
      </c>
      <c r="J63" t="s">
        <v>424</v>
      </c>
      <c r="K63" s="1">
        <v>46240</v>
      </c>
      <c r="L63" s="1">
        <v>46241</v>
      </c>
      <c r="M63" t="s">
        <v>106</v>
      </c>
      <c r="N63" t="s">
        <v>426</v>
      </c>
      <c r="O63" t="s">
        <v>426</v>
      </c>
      <c r="P63" t="s">
        <v>39</v>
      </c>
      <c r="Q63" t="s">
        <v>55</v>
      </c>
      <c r="R63">
        <v>4000</v>
      </c>
      <c r="S63">
        <v>5.3E-3</v>
      </c>
      <c r="T63">
        <v>21.2</v>
      </c>
      <c r="U63">
        <v>1</v>
      </c>
      <c r="V63">
        <v>5.3E-3</v>
      </c>
      <c r="W63">
        <v>21.2</v>
      </c>
      <c r="X63" t="s">
        <v>15</v>
      </c>
      <c r="Y63" t="s">
        <v>14</v>
      </c>
      <c r="Z63" t="s">
        <v>118</v>
      </c>
      <c r="AA63">
        <v>341001363</v>
      </c>
      <c r="AB63" t="s">
        <v>164</v>
      </c>
    </row>
    <row r="64" spans="1:28" x14ac:dyDescent="0.35">
      <c r="A64" t="s">
        <v>356</v>
      </c>
      <c r="B64">
        <v>22893</v>
      </c>
      <c r="C64">
        <v>345101287</v>
      </c>
      <c r="D64" s="1">
        <v>46241</v>
      </c>
      <c r="E64" t="s">
        <v>385</v>
      </c>
      <c r="F64" t="s">
        <v>386</v>
      </c>
      <c r="G64" t="s">
        <v>387</v>
      </c>
      <c r="H64" t="s">
        <v>369</v>
      </c>
      <c r="I64" t="s">
        <v>388</v>
      </c>
      <c r="J64">
        <v>1029002309</v>
      </c>
      <c r="K64" s="1">
        <v>46237</v>
      </c>
      <c r="L64" s="1">
        <v>46241</v>
      </c>
      <c r="M64" t="s">
        <v>106</v>
      </c>
      <c r="N64" t="s">
        <v>427</v>
      </c>
      <c r="O64" t="s">
        <v>428</v>
      </c>
      <c r="P64" t="s">
        <v>62</v>
      </c>
      <c r="Q64" t="s">
        <v>55</v>
      </c>
      <c r="R64">
        <v>37500</v>
      </c>
      <c r="S64">
        <v>2.8500000000000001E-2</v>
      </c>
      <c r="T64">
        <v>1068.75</v>
      </c>
      <c r="U64">
        <v>1</v>
      </c>
      <c r="V64">
        <v>2.8500000000000001E-2</v>
      </c>
      <c r="W64">
        <v>1068.75</v>
      </c>
      <c r="X64" t="s">
        <v>11</v>
      </c>
      <c r="Y64" t="s">
        <v>14</v>
      </c>
      <c r="Z64" t="s">
        <v>118</v>
      </c>
      <c r="AA64">
        <v>341001311</v>
      </c>
      <c r="AB64" t="s">
        <v>164</v>
      </c>
    </row>
    <row r="65" spans="1:28" x14ac:dyDescent="0.35">
      <c r="A65" t="s">
        <v>356</v>
      </c>
      <c r="B65">
        <v>22893</v>
      </c>
      <c r="C65">
        <v>345101287</v>
      </c>
      <c r="D65" s="1">
        <v>46241</v>
      </c>
      <c r="E65" t="s">
        <v>385</v>
      </c>
      <c r="F65" t="s">
        <v>386</v>
      </c>
      <c r="G65" t="s">
        <v>387</v>
      </c>
      <c r="H65" t="s">
        <v>369</v>
      </c>
      <c r="I65" t="s">
        <v>388</v>
      </c>
      <c r="J65">
        <v>1029002309</v>
      </c>
      <c r="K65" s="1">
        <v>46237</v>
      </c>
      <c r="L65" s="1">
        <v>46241</v>
      </c>
      <c r="M65" t="s">
        <v>106</v>
      </c>
      <c r="N65" t="s">
        <v>427</v>
      </c>
      <c r="O65" t="s">
        <v>428</v>
      </c>
      <c r="P65" t="s">
        <v>62</v>
      </c>
      <c r="Q65" t="s">
        <v>55</v>
      </c>
      <c r="R65">
        <v>67500</v>
      </c>
      <c r="S65">
        <v>2.8500000000000001E-2</v>
      </c>
      <c r="T65">
        <v>1923.75</v>
      </c>
      <c r="U65">
        <v>1</v>
      </c>
      <c r="V65">
        <v>2.8500000000000001E-2</v>
      </c>
      <c r="W65">
        <v>1923.75</v>
      </c>
      <c r="X65" t="s">
        <v>11</v>
      </c>
      <c r="Y65" t="s">
        <v>14</v>
      </c>
      <c r="Z65" t="s">
        <v>118</v>
      </c>
      <c r="AA65">
        <v>341001311</v>
      </c>
      <c r="AB65" t="s">
        <v>164</v>
      </c>
    </row>
    <row r="66" spans="1:28" x14ac:dyDescent="0.35">
      <c r="A66" t="s">
        <v>356</v>
      </c>
      <c r="B66">
        <v>23018</v>
      </c>
      <c r="C66">
        <v>345101363</v>
      </c>
      <c r="D66" s="1">
        <v>46241</v>
      </c>
      <c r="E66" t="s">
        <v>429</v>
      </c>
      <c r="F66" t="s">
        <v>430</v>
      </c>
      <c r="G66" t="s">
        <v>431</v>
      </c>
      <c r="H66" t="s">
        <v>367</v>
      </c>
      <c r="I66" t="s">
        <v>432</v>
      </c>
      <c r="J66">
        <v>7200000912</v>
      </c>
      <c r="K66" s="1">
        <v>46241</v>
      </c>
      <c r="L66" s="1">
        <v>46241</v>
      </c>
      <c r="M66" t="s">
        <v>106</v>
      </c>
      <c r="N66" t="s">
        <v>433</v>
      </c>
      <c r="O66">
        <v>1011000656</v>
      </c>
      <c r="P66" t="s">
        <v>391</v>
      </c>
      <c r="Q66" t="s">
        <v>55</v>
      </c>
      <c r="R66">
        <v>10500</v>
      </c>
      <c r="S66">
        <v>0.68700000000000006</v>
      </c>
      <c r="T66">
        <v>7213.5</v>
      </c>
      <c r="U66">
        <v>1</v>
      </c>
      <c r="V66">
        <v>0.68700000000000006</v>
      </c>
      <c r="W66">
        <v>7213.5</v>
      </c>
      <c r="X66" t="s">
        <v>80</v>
      </c>
      <c r="Y66" t="s">
        <v>17</v>
      </c>
      <c r="Z66" t="s">
        <v>118</v>
      </c>
      <c r="AA66">
        <v>341002051</v>
      </c>
      <c r="AB66" t="s">
        <v>164</v>
      </c>
    </row>
    <row r="67" spans="1:28" x14ac:dyDescent="0.35">
      <c r="A67" t="s">
        <v>356</v>
      </c>
      <c r="B67">
        <v>23018</v>
      </c>
      <c r="C67">
        <v>345101363</v>
      </c>
      <c r="D67" s="1">
        <v>46241</v>
      </c>
      <c r="E67" t="s">
        <v>429</v>
      </c>
      <c r="F67" t="s">
        <v>430</v>
      </c>
      <c r="G67" t="s">
        <v>431</v>
      </c>
      <c r="H67" t="s">
        <v>367</v>
      </c>
      <c r="I67" t="s">
        <v>432</v>
      </c>
      <c r="J67">
        <v>7200000952</v>
      </c>
      <c r="K67" s="1">
        <v>46241</v>
      </c>
      <c r="L67" s="1">
        <v>46241</v>
      </c>
      <c r="M67" t="s">
        <v>106</v>
      </c>
      <c r="N67" t="s">
        <v>434</v>
      </c>
      <c r="O67">
        <v>1011001206</v>
      </c>
      <c r="P67" t="s">
        <v>391</v>
      </c>
      <c r="Q67" t="s">
        <v>55</v>
      </c>
      <c r="R67">
        <v>4000</v>
      </c>
      <c r="S67">
        <v>0.158</v>
      </c>
      <c r="T67">
        <v>632</v>
      </c>
      <c r="U67">
        <v>1</v>
      </c>
      <c r="V67">
        <v>0.158</v>
      </c>
      <c r="W67">
        <v>632</v>
      </c>
      <c r="X67" t="s">
        <v>80</v>
      </c>
      <c r="Y67" t="s">
        <v>17</v>
      </c>
      <c r="Z67" t="s">
        <v>118</v>
      </c>
      <c r="AA67">
        <v>341002706</v>
      </c>
      <c r="AB67" t="s">
        <v>164</v>
      </c>
    </row>
    <row r="68" spans="1:28" x14ac:dyDescent="0.35">
      <c r="A68" t="s">
        <v>356</v>
      </c>
      <c r="B68">
        <v>23018</v>
      </c>
      <c r="C68">
        <v>345101363</v>
      </c>
      <c r="D68" s="1">
        <v>46241</v>
      </c>
      <c r="E68" t="s">
        <v>429</v>
      </c>
      <c r="F68" t="s">
        <v>430</v>
      </c>
      <c r="G68" t="s">
        <v>431</v>
      </c>
      <c r="H68" t="s">
        <v>367</v>
      </c>
      <c r="I68" t="s">
        <v>432</v>
      </c>
      <c r="J68">
        <v>7200000869</v>
      </c>
      <c r="K68" s="1">
        <v>46241</v>
      </c>
      <c r="L68" s="1">
        <v>46241</v>
      </c>
      <c r="M68" t="s">
        <v>106</v>
      </c>
      <c r="N68" t="s">
        <v>435</v>
      </c>
      <c r="O68">
        <v>1011001127</v>
      </c>
      <c r="P68" t="s">
        <v>41</v>
      </c>
      <c r="Q68" t="s">
        <v>55</v>
      </c>
      <c r="R68">
        <v>16000</v>
      </c>
      <c r="S68">
        <v>0.14899999999999999</v>
      </c>
      <c r="T68">
        <v>2383.52</v>
      </c>
      <c r="U68">
        <v>1</v>
      </c>
      <c r="V68">
        <v>0.14899999999999999</v>
      </c>
      <c r="W68">
        <v>2383.52</v>
      </c>
      <c r="X68" t="s">
        <v>80</v>
      </c>
      <c r="Y68" t="s">
        <v>17</v>
      </c>
      <c r="Z68" t="s">
        <v>118</v>
      </c>
      <c r="AA68">
        <v>341001989</v>
      </c>
      <c r="AB68" t="s">
        <v>164</v>
      </c>
    </row>
    <row r="69" spans="1:28" x14ac:dyDescent="0.35">
      <c r="A69" t="s">
        <v>356</v>
      </c>
      <c r="B69">
        <v>23018</v>
      </c>
      <c r="C69">
        <v>345101363</v>
      </c>
      <c r="D69" s="1">
        <v>46241</v>
      </c>
      <c r="E69" t="s">
        <v>429</v>
      </c>
      <c r="F69" t="s">
        <v>430</v>
      </c>
      <c r="G69" t="s">
        <v>431</v>
      </c>
      <c r="H69" t="s">
        <v>367</v>
      </c>
      <c r="I69" t="s">
        <v>432</v>
      </c>
      <c r="J69">
        <v>7200000909</v>
      </c>
      <c r="K69" s="1">
        <v>46241</v>
      </c>
      <c r="L69" s="1">
        <v>46241</v>
      </c>
      <c r="M69" t="s">
        <v>106</v>
      </c>
      <c r="N69" t="s">
        <v>436</v>
      </c>
      <c r="O69">
        <v>1011001187</v>
      </c>
      <c r="P69" t="s">
        <v>41</v>
      </c>
      <c r="Q69" t="s">
        <v>55</v>
      </c>
      <c r="R69">
        <v>5000</v>
      </c>
      <c r="S69">
        <v>2E-3</v>
      </c>
      <c r="T69">
        <v>9.8000000000000007</v>
      </c>
      <c r="U69">
        <v>1</v>
      </c>
      <c r="V69">
        <v>2E-3</v>
      </c>
      <c r="W69">
        <v>9.8000000000000007</v>
      </c>
      <c r="X69" t="s">
        <v>80</v>
      </c>
      <c r="Y69" t="s">
        <v>17</v>
      </c>
      <c r="Z69" t="s">
        <v>118</v>
      </c>
      <c r="AA69">
        <v>341002419</v>
      </c>
      <c r="AB69" t="s">
        <v>164</v>
      </c>
    </row>
    <row r="70" spans="1:28" x14ac:dyDescent="0.35">
      <c r="A70" t="s">
        <v>356</v>
      </c>
      <c r="B70">
        <v>22932</v>
      </c>
      <c r="C70">
        <v>345101310</v>
      </c>
      <c r="D70" s="1">
        <v>46241</v>
      </c>
      <c r="E70" t="s">
        <v>437</v>
      </c>
      <c r="F70" t="s">
        <v>438</v>
      </c>
      <c r="G70" t="s">
        <v>438</v>
      </c>
      <c r="H70" t="s">
        <v>357</v>
      </c>
      <c r="I70" t="s">
        <v>358</v>
      </c>
      <c r="J70">
        <v>2102300162262</v>
      </c>
      <c r="K70" s="1">
        <v>46238</v>
      </c>
      <c r="L70" s="1">
        <v>46241</v>
      </c>
      <c r="M70" t="s">
        <v>106</v>
      </c>
      <c r="N70" t="s">
        <v>439</v>
      </c>
      <c r="O70" t="s">
        <v>440</v>
      </c>
      <c r="P70" t="s">
        <v>441</v>
      </c>
      <c r="Q70" t="s">
        <v>57</v>
      </c>
      <c r="R70">
        <v>5000</v>
      </c>
      <c r="S70">
        <v>0.2</v>
      </c>
      <c r="T70">
        <v>1000</v>
      </c>
      <c r="U70">
        <v>1</v>
      </c>
      <c r="V70">
        <v>0.2</v>
      </c>
      <c r="W70">
        <v>1000</v>
      </c>
      <c r="X70" t="s">
        <v>80</v>
      </c>
      <c r="Y70" t="s">
        <v>17</v>
      </c>
      <c r="Z70" t="s">
        <v>118</v>
      </c>
      <c r="AA70">
        <v>341003316</v>
      </c>
      <c r="AB70" t="s">
        <v>164</v>
      </c>
    </row>
    <row r="71" spans="1:28" x14ac:dyDescent="0.35">
      <c r="A71" t="s">
        <v>356</v>
      </c>
      <c r="B71">
        <v>22932</v>
      </c>
      <c r="C71">
        <v>345101310</v>
      </c>
      <c r="D71" s="1">
        <v>46241</v>
      </c>
      <c r="E71" t="s">
        <v>437</v>
      </c>
      <c r="F71" t="s">
        <v>438</v>
      </c>
      <c r="G71" t="s">
        <v>438</v>
      </c>
      <c r="H71" t="s">
        <v>357</v>
      </c>
      <c r="I71" t="s">
        <v>358</v>
      </c>
      <c r="J71">
        <v>2102300162266</v>
      </c>
      <c r="K71" s="1">
        <v>46238</v>
      </c>
      <c r="L71" s="1">
        <v>46241</v>
      </c>
      <c r="M71" t="s">
        <v>106</v>
      </c>
      <c r="N71" t="s">
        <v>439</v>
      </c>
      <c r="O71" t="s">
        <v>440</v>
      </c>
      <c r="P71" t="s">
        <v>441</v>
      </c>
      <c r="Q71" t="s">
        <v>57</v>
      </c>
      <c r="R71">
        <v>25000</v>
      </c>
      <c r="S71">
        <v>0.2</v>
      </c>
      <c r="T71">
        <v>5000</v>
      </c>
      <c r="U71">
        <v>1</v>
      </c>
      <c r="V71">
        <v>0.2</v>
      </c>
      <c r="W71">
        <v>5000</v>
      </c>
      <c r="X71" t="s">
        <v>80</v>
      </c>
      <c r="Y71" t="s">
        <v>17</v>
      </c>
      <c r="Z71" t="s">
        <v>118</v>
      </c>
      <c r="AA71">
        <v>341003414</v>
      </c>
      <c r="AB71" t="s">
        <v>164</v>
      </c>
    </row>
  </sheetData>
  <autoFilter ref="A2:AB2" xr:uid="{3DBC0368-710F-4791-BA3D-51DC031F333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1BC8-5970-4734-A45C-7E062692C581}">
  <dimension ref="D2:AL38"/>
  <sheetViews>
    <sheetView workbookViewId="0"/>
  </sheetViews>
  <sheetFormatPr defaultRowHeight="14.5" x14ac:dyDescent="0.35"/>
  <cols>
    <col min="1" max="1" width="5.81640625" bestFit="1" customWidth="1"/>
    <col min="2" max="2" width="11.08984375" bestFit="1" customWidth="1"/>
    <col min="3" max="3" width="16.81640625" bestFit="1" customWidth="1"/>
    <col min="4" max="4" width="11.1796875" bestFit="1" customWidth="1"/>
    <col min="5" max="5" width="13.90625" bestFit="1" customWidth="1"/>
    <col min="6" max="6" width="14.81640625" bestFit="1" customWidth="1"/>
    <col min="7" max="7" width="12.26953125" bestFit="1" customWidth="1"/>
    <col min="8" max="8" width="6.81640625" bestFit="1" customWidth="1"/>
    <col min="9" max="9" width="16.36328125" bestFit="1" customWidth="1"/>
    <col min="10" max="10" width="13.7265625" bestFit="1" customWidth="1"/>
    <col min="11" max="11" width="33.453125" bestFit="1" customWidth="1"/>
    <col min="12" max="12" width="15.1796875" bestFit="1" customWidth="1"/>
    <col min="13" max="13" width="20.54296875" bestFit="1" customWidth="1"/>
    <col min="14" max="14" width="17.90625" bestFit="1" customWidth="1"/>
    <col min="15" max="15" width="15.81640625" bestFit="1" customWidth="1"/>
    <col min="16" max="16" width="23.1796875" bestFit="1" customWidth="1"/>
    <col min="17" max="18" width="8.81640625" bestFit="1" customWidth="1"/>
    <col min="19" max="19" width="15.08984375" bestFit="1" customWidth="1"/>
    <col min="20" max="20" width="17.36328125" bestFit="1" customWidth="1"/>
    <col min="21" max="21" width="6.54296875" bestFit="1" customWidth="1"/>
    <col min="22" max="22" width="17.54296875" bestFit="1" customWidth="1"/>
    <col min="23" max="23" width="11.08984375" bestFit="1" customWidth="1"/>
    <col min="24" max="24" width="14.54296875" bestFit="1" customWidth="1"/>
    <col min="25" max="25" width="13.1796875" bestFit="1" customWidth="1"/>
    <col min="26" max="26" width="27.54296875" bestFit="1" customWidth="1"/>
    <col min="27" max="27" width="14.90625" bestFit="1" customWidth="1"/>
    <col min="28" max="28" width="19.36328125" bestFit="1" customWidth="1"/>
    <col min="29" max="29" width="25.453125" bestFit="1" customWidth="1"/>
    <col min="30" max="30" width="22.36328125" bestFit="1" customWidth="1"/>
    <col min="31" max="31" width="28.36328125" bestFit="1" customWidth="1"/>
    <col min="32" max="32" width="20.7265625" bestFit="1" customWidth="1"/>
    <col min="33" max="33" width="26.81640625" bestFit="1" customWidth="1"/>
    <col min="34" max="34" width="15.7265625" bestFit="1" customWidth="1"/>
    <col min="35" max="35" width="21.81640625" bestFit="1" customWidth="1"/>
    <col min="36" max="36" width="26" bestFit="1" customWidth="1"/>
    <col min="37" max="37" width="13.1796875" bestFit="1" customWidth="1"/>
    <col min="38" max="38" width="63.453125" bestFit="1" customWidth="1"/>
    <col min="39" max="39" width="15.08984375" bestFit="1" customWidth="1"/>
    <col min="40" max="40" width="11.81640625" bestFit="1" customWidth="1"/>
    <col min="41" max="41" width="15.1796875" bestFit="1" customWidth="1"/>
  </cols>
  <sheetData>
    <row r="2" spans="4:20" x14ac:dyDescent="0.35">
      <c r="T2" s="3"/>
    </row>
    <row r="3" spans="4:20" x14ac:dyDescent="0.35">
      <c r="D3" s="1"/>
      <c r="E3" s="1"/>
      <c r="R3" s="2"/>
      <c r="T3" s="2"/>
    </row>
    <row r="4" spans="4:20" x14ac:dyDescent="0.35">
      <c r="D4" s="1"/>
      <c r="E4" s="1"/>
      <c r="Q4" s="2"/>
      <c r="R4" s="2"/>
      <c r="S4" s="2"/>
      <c r="T4" s="2"/>
    </row>
    <row r="5" spans="4:20" x14ac:dyDescent="0.35">
      <c r="D5" s="1"/>
      <c r="E5" s="1"/>
      <c r="Q5" s="2"/>
      <c r="R5" s="2"/>
      <c r="S5" s="2"/>
    </row>
    <row r="6" spans="4:20" x14ac:dyDescent="0.35">
      <c r="D6" s="1"/>
      <c r="E6" s="1"/>
      <c r="R6" s="2"/>
      <c r="T6" s="2"/>
    </row>
    <row r="7" spans="4:20" x14ac:dyDescent="0.35">
      <c r="D7" s="1"/>
      <c r="E7" s="1"/>
      <c r="R7" s="2"/>
      <c r="T7" s="2"/>
    </row>
    <row r="8" spans="4:20" x14ac:dyDescent="0.35">
      <c r="D8" s="1"/>
      <c r="E8" s="1"/>
      <c r="R8" s="2"/>
      <c r="T8" s="2"/>
    </row>
    <row r="9" spans="4:20" x14ac:dyDescent="0.35">
      <c r="D9" s="1"/>
      <c r="E9" s="1"/>
      <c r="R9" s="2"/>
      <c r="T9" s="2"/>
    </row>
    <row r="10" spans="4:20" x14ac:dyDescent="0.35">
      <c r="D10" s="1"/>
      <c r="E10" s="1"/>
      <c r="R10" s="2"/>
      <c r="T10" s="2"/>
    </row>
    <row r="11" spans="4:20" x14ac:dyDescent="0.35">
      <c r="D11" s="1"/>
      <c r="E11" s="1"/>
      <c r="R11" s="2"/>
      <c r="T11" s="2"/>
    </row>
    <row r="12" spans="4:20" x14ac:dyDescent="0.35">
      <c r="D12" s="1"/>
      <c r="E12" s="1"/>
      <c r="R12" s="2"/>
      <c r="T12" s="2"/>
    </row>
    <row r="13" spans="4:20" x14ac:dyDescent="0.35">
      <c r="D13" s="1"/>
      <c r="E13" s="1"/>
      <c r="R13" s="2"/>
      <c r="T13" s="2"/>
    </row>
    <row r="14" spans="4:20" x14ac:dyDescent="0.35">
      <c r="D14" s="1"/>
      <c r="E14" s="1"/>
      <c r="R14" s="2"/>
    </row>
    <row r="15" spans="4:20" x14ac:dyDescent="0.35">
      <c r="D15" s="1"/>
      <c r="E15" s="1"/>
    </row>
    <row r="16" spans="4:20" x14ac:dyDescent="0.35">
      <c r="D16" s="1"/>
      <c r="E16" s="1"/>
      <c r="R16" s="2"/>
      <c r="T16" s="2"/>
    </row>
    <row r="17" spans="4:36" x14ac:dyDescent="0.35">
      <c r="D17" s="1"/>
      <c r="E17" s="1"/>
      <c r="R17" s="2"/>
      <c r="T17" s="2"/>
    </row>
    <row r="18" spans="4:36" x14ac:dyDescent="0.35">
      <c r="D18" s="1"/>
      <c r="E18" s="1"/>
      <c r="R18" s="2"/>
      <c r="T18" s="2"/>
    </row>
    <row r="19" spans="4:36" x14ac:dyDescent="0.35">
      <c r="D19" s="1"/>
      <c r="E19" s="1"/>
      <c r="R19" s="2"/>
      <c r="T19" s="2"/>
      <c r="AG19" s="2"/>
      <c r="AH19" s="2"/>
      <c r="AI19" s="2"/>
      <c r="AJ19" s="2"/>
    </row>
    <row r="20" spans="4:36" x14ac:dyDescent="0.35">
      <c r="D20" s="1"/>
      <c r="E20" s="1"/>
      <c r="R20" s="2"/>
      <c r="T20" s="2"/>
    </row>
    <row r="21" spans="4:36" x14ac:dyDescent="0.35">
      <c r="D21" s="1"/>
      <c r="E21" s="1"/>
      <c r="R21" s="2"/>
      <c r="T21" s="2"/>
    </row>
    <row r="22" spans="4:36" x14ac:dyDescent="0.35">
      <c r="D22" s="1"/>
      <c r="E22" s="1"/>
      <c r="R22" s="2"/>
      <c r="T22" s="2"/>
    </row>
    <row r="23" spans="4:36" x14ac:dyDescent="0.35">
      <c r="D23" s="1"/>
      <c r="E23" s="1"/>
      <c r="R23" s="2"/>
      <c r="T23" s="2"/>
    </row>
    <row r="24" spans="4:36" x14ac:dyDescent="0.35">
      <c r="D24" s="1"/>
      <c r="E24" s="1"/>
      <c r="R24" s="2"/>
      <c r="T24" s="2"/>
    </row>
    <row r="25" spans="4:36" x14ac:dyDescent="0.35">
      <c r="D25" s="1"/>
      <c r="E25" s="1"/>
      <c r="R25" s="2"/>
      <c r="T25" s="2"/>
    </row>
    <row r="26" spans="4:36" x14ac:dyDescent="0.35">
      <c r="D26" s="1"/>
      <c r="E26" s="1"/>
      <c r="R26" s="2"/>
      <c r="T26" s="2"/>
    </row>
    <row r="27" spans="4:36" x14ac:dyDescent="0.35">
      <c r="D27" s="1"/>
      <c r="E27" s="1"/>
      <c r="R27" s="2"/>
      <c r="T27" s="2"/>
    </row>
    <row r="28" spans="4:36" x14ac:dyDescent="0.35">
      <c r="D28" s="1"/>
      <c r="E28" s="1"/>
      <c r="R28" s="2"/>
      <c r="T28" s="2"/>
    </row>
    <row r="29" spans="4:36" x14ac:dyDescent="0.35">
      <c r="D29" s="1"/>
      <c r="E29" s="1"/>
    </row>
    <row r="30" spans="4:36" x14ac:dyDescent="0.35">
      <c r="D30" s="1"/>
      <c r="E30" s="1"/>
      <c r="R30" s="2"/>
    </row>
    <row r="31" spans="4:36" x14ac:dyDescent="0.35">
      <c r="D31" s="1"/>
      <c r="E31" s="1"/>
    </row>
    <row r="32" spans="4:36" x14ac:dyDescent="0.35">
      <c r="D32" s="1"/>
      <c r="E32" s="1"/>
      <c r="R32" s="2"/>
    </row>
    <row r="33" spans="4:38" x14ac:dyDescent="0.35">
      <c r="D33" s="1"/>
      <c r="E33" s="1"/>
      <c r="R33" s="2"/>
      <c r="T33" s="2"/>
    </row>
    <row r="34" spans="4:38" x14ac:dyDescent="0.35">
      <c r="D34" s="1"/>
      <c r="E34" s="1"/>
      <c r="R34" s="2"/>
    </row>
    <row r="35" spans="4:38" x14ac:dyDescent="0.35">
      <c r="D35" s="1"/>
      <c r="E35" s="1"/>
      <c r="R35" s="2"/>
      <c r="T35" s="2"/>
    </row>
    <row r="36" spans="4:38" x14ac:dyDescent="0.35">
      <c r="D36" s="1"/>
      <c r="E36" s="1"/>
      <c r="R36" s="2"/>
    </row>
    <row r="37" spans="4:38" x14ac:dyDescent="0.35">
      <c r="D37" s="1"/>
      <c r="E37" s="1"/>
      <c r="R37" s="2"/>
    </row>
    <row r="38" spans="4:38" x14ac:dyDescent="0.35">
      <c r="D38" s="1"/>
      <c r="E38" s="1"/>
      <c r="S38" s="2"/>
      <c r="T38" s="2"/>
      <c r="U38" s="2"/>
      <c r="AG38" s="2"/>
      <c r="AH38" s="2"/>
      <c r="AI38" s="2"/>
      <c r="AJ38" s="2"/>
      <c r="AL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</vt:lpstr>
      <vt:lpstr>MOUSER</vt:lpstr>
      <vt:lpstr>USD</vt:lpstr>
      <vt:lpstr>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Chauhan</dc:creator>
  <cp:lastModifiedBy>Neha Chauhan</cp:lastModifiedBy>
  <dcterms:created xsi:type="dcterms:W3CDTF">2015-06-05T18:17:20Z</dcterms:created>
  <dcterms:modified xsi:type="dcterms:W3CDTF">2026-08-07T12:52:46Z</dcterms:modified>
</cp:coreProperties>
</file>