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smetgroup-my.sharepoint.com/personal/neha_chauhan_mysmindia_com/Documents/Desktop/"/>
    </mc:Choice>
  </mc:AlternateContent>
  <xr:revisionPtr revIDLastSave="1" documentId="11_F25DC773A252ABDACC1048B221DD767A5BDE58EF" xr6:coauthVersionLast="47" xr6:coauthVersionMax="47" xr10:uidLastSave="{15B7C41B-3F4C-4EA9-AD1E-5D701F45291C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6" i="1" l="1"/>
  <c r="U16" i="1"/>
  <c r="Q16" i="1"/>
  <c r="M16" i="1"/>
  <c r="I16" i="1"/>
  <c r="E16" i="1"/>
  <c r="Y15" i="1"/>
  <c r="U15" i="1"/>
  <c r="Q15" i="1"/>
  <c r="M15" i="1"/>
  <c r="I15" i="1"/>
  <c r="E15" i="1"/>
  <c r="Y14" i="1"/>
  <c r="U14" i="1"/>
  <c r="Q14" i="1"/>
  <c r="M14" i="1"/>
  <c r="I14" i="1"/>
  <c r="E14" i="1"/>
  <c r="Y13" i="1"/>
  <c r="U13" i="1"/>
  <c r="Q13" i="1"/>
  <c r="M13" i="1"/>
  <c r="I13" i="1"/>
  <c r="E13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<sst xmlns="http://schemas.openxmlformats.org/spreadsheetml/2006/main" count="40" uniqueCount="21">
  <si>
    <t>Billing for Aug'26</t>
  </si>
  <si>
    <t>TGT</t>
  </si>
  <si>
    <t>ACT</t>
  </si>
  <si>
    <t>%</t>
  </si>
  <si>
    <t>INR (Cr)</t>
  </si>
  <si>
    <t>USD-SG (M$)</t>
  </si>
  <si>
    <t>USD-Direct (M$)</t>
  </si>
  <si>
    <t>Mouser (Cr)</t>
  </si>
  <si>
    <t>JNS (TFT )</t>
  </si>
  <si>
    <t>Date</t>
  </si>
  <si>
    <t>Particulars</t>
  </si>
  <si>
    <t>Kuldeep Kumar</t>
  </si>
  <si>
    <t>Arpit Singh</t>
  </si>
  <si>
    <t>Mahesh Kumar</t>
  </si>
  <si>
    <t>Harsh Doshi</t>
  </si>
  <si>
    <t>Suraj Pandey</t>
  </si>
  <si>
    <t>Abhishekh Chaudhry</t>
  </si>
  <si>
    <t>Target</t>
  </si>
  <si>
    <t>Ach.</t>
  </si>
  <si>
    <t>Aug'26</t>
  </si>
  <si>
    <t>Mouser (Lakhs)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</si>
</sst>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1"/>
      <name val="Aptos"/>
      <family val="2"/>
    </font>
    <font>
      <b/>
      <sz val="11"/>
      <color rgb="FF002060"/>
      <name val="Calibri"/>
      <family val="2"/>
    </font>
    <font>
      <sz val="11"/>
      <color rgb="FF00206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4DCF8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2" fontId="3" fillId="0" borderId="1" xfId="0" applyNumberFormat="1" applyFont="1" applyBorder="1"/>
    <xf numFmtId="2" fontId="2" fillId="0" borderId="1" xfId="0" applyNumberFormat="1" applyFont="1" applyBorder="1" applyAlignment="1">
      <alignment vertical="center"/>
    </xf>
    <xf numFmtId="9" fontId="2" fillId="0" borderId="1" xfId="0" applyNumberFormat="1" applyFont="1" applyBorder="1" applyAlignment="1">
      <alignment vertical="center"/>
    </xf>
    <xf numFmtId="164" fontId="0" fillId="0" borderId="0" xfId="0" applyNumberFormat="1"/>
    <xf numFmtId="1" fontId="0" fillId="0" borderId="0" xfId="0" applyNumberFormat="1"/>
    <xf numFmtId="165" fontId="2" fillId="0" borderId="1" xfId="0" applyNumberFormat="1" applyFont="1" applyBorder="1" applyAlignment="1">
      <alignment vertical="center"/>
    </xf>
    <xf numFmtId="2" fontId="0" fillId="0" borderId="0" xfId="0" applyNumberFormat="1"/>
    <xf numFmtId="0" fontId="4" fillId="0" borderId="1" xfId="0" applyFont="1" applyBorder="1"/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/>
    </xf>
    <xf numFmtId="2" fontId="6" fillId="0" borderId="9" xfId="0" applyNumberFormat="1" applyFont="1" applyBorder="1" applyAlignment="1">
      <alignment vertical="center"/>
    </xf>
    <xf numFmtId="9" fontId="6" fillId="0" borderId="9" xfId="0" applyNumberFormat="1" applyFont="1" applyBorder="1" applyAlignment="1">
      <alignment vertical="center"/>
    </xf>
    <xf numFmtId="9" fontId="6" fillId="4" borderId="0" xfId="0" applyNumberFormat="1" applyFont="1" applyFill="1" applyAlignment="1">
      <alignment vertical="center"/>
    </xf>
    <xf numFmtId="2" fontId="6" fillId="0" borderId="7" xfId="0" applyNumberFormat="1" applyFont="1" applyBorder="1" applyAlignment="1">
      <alignment vertical="center"/>
    </xf>
    <xf numFmtId="2" fontId="0" fillId="0" borderId="10" xfId="0" applyNumberFormat="1" applyBorder="1"/>
    <xf numFmtId="0" fontId="6" fillId="0" borderId="11" xfId="0" applyFont="1" applyBorder="1" applyAlignment="1">
      <alignment horizontal="center" vertical="center" wrapText="1"/>
    </xf>
    <xf numFmtId="166" fontId="6" fillId="0" borderId="7" xfId="0" applyNumberFormat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166" fontId="0" fillId="0" borderId="0" xfId="0" applyNumberFormat="1"/>
    <xf numFmtId="165" fontId="6" fillId="0" borderId="9" xfId="0" applyNumberFormat="1" applyFont="1" applyBorder="1" applyAlignment="1">
      <alignment vertical="center"/>
    </xf>
    <xf numFmtId="166" fontId="6" fillId="0" borderId="9" xfId="0" applyNumberFormat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7" xfId="0" applyFont="1" applyBorder="1" applyAlignment="1">
      <alignment horizontal="center" vertical="center" wrapText="1"/>
    </xf>
    <xf numFmtId="9" fontId="6" fillId="0" borderId="10" xfId="0" applyNumberFormat="1" applyFont="1" applyBorder="1" applyAlignment="1">
      <alignment vertical="center"/>
    </xf>
    <xf numFmtId="1" fontId="6" fillId="0" borderId="7" xfId="0" applyNumberFormat="1" applyFont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Border="1"/>
    <xf numFmtId="2" fontId="2" fillId="0" borderId="0" xfId="0" applyNumberFormat="1" applyFont="1" applyFill="1" applyBorder="1" applyAlignment="1">
      <alignment vertical="center"/>
    </xf>
    <xf numFmtId="9" fontId="2" fillId="0" borderId="0" xfId="0" applyNumberFormat="1" applyFont="1" applyFill="1" applyBorder="1" applyAlignment="1">
      <alignment vertical="center"/>
    </xf>
    <xf numFmtId="0" fontId="4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16"/>
  <sheetViews>
    <sheetView tabSelected="1" workbookViewId="0">
      <selection activeCell="M6" sqref="M6"/>
    </sheetView>
  </sheetViews>
  <sheetFormatPr defaultRowHeight="14.5" x14ac:dyDescent="0.35"/>
  <cols>
    <col min="1" max="2" width="14.36328125" bestFit="1" customWidth="1"/>
    <col min="3" max="3" width="6.1796875" bestFit="1" customWidth="1"/>
    <col min="4" max="4" width="5.36328125" bestFit="1" customWidth="1"/>
    <col min="5" max="5" width="4.26953125" bestFit="1" customWidth="1"/>
    <col min="6" max="6" width="1.90625" customWidth="1"/>
    <col min="7" max="7" width="14.36328125" bestFit="1" customWidth="1"/>
    <col min="8" max="8" width="5.36328125" bestFit="1" customWidth="1"/>
    <col min="9" max="9" width="7.1796875" bestFit="1" customWidth="1"/>
    <col min="10" max="10" width="5.26953125" bestFit="1" customWidth="1"/>
    <col min="11" max="11" width="6.1796875" bestFit="1" customWidth="1"/>
    <col min="12" max="13" width="10.81640625" bestFit="1" customWidth="1"/>
    <col min="14" max="14" width="2" customWidth="1"/>
    <col min="15" max="15" width="6.1796875" bestFit="1" customWidth="1"/>
    <col min="16" max="16" width="5.36328125" bestFit="1" customWidth="1"/>
    <col min="17" max="17" width="4.26953125" bestFit="1" customWidth="1"/>
    <col min="18" max="18" width="2.36328125" customWidth="1"/>
    <col min="19" max="19" width="6.1796875" bestFit="1" customWidth="1"/>
    <col min="20" max="20" width="4.453125" bestFit="1" customWidth="1"/>
    <col min="21" max="21" width="7.1796875" bestFit="1" customWidth="1"/>
    <col min="22" max="22" width="2" customWidth="1"/>
    <col min="23" max="23" width="6.36328125" bestFit="1" customWidth="1"/>
    <col min="24" max="24" width="6.81640625" bestFit="1" customWidth="1"/>
    <col min="25" max="25" width="7.1796875" bestFit="1" customWidth="1"/>
  </cols>
  <sheetData>
    <row r="2" spans="1:28" x14ac:dyDescent="0.35">
      <c r="A2" s="1" t="s">
        <v>0</v>
      </c>
      <c r="B2" s="1"/>
      <c r="C2" s="1"/>
      <c r="D2" s="1"/>
      <c r="G2" s="40"/>
      <c r="H2" s="40"/>
      <c r="I2" s="40"/>
      <c r="J2" s="40"/>
    </row>
    <row r="3" spans="1:28" x14ac:dyDescent="0.35">
      <c r="A3" s="2"/>
      <c r="B3" s="3" t="s">
        <v>1</v>
      </c>
      <c r="C3" s="3" t="s">
        <v>2</v>
      </c>
      <c r="D3" s="3" t="s">
        <v>3</v>
      </c>
      <c r="E3" s="4"/>
      <c r="G3" s="41"/>
      <c r="H3" s="42"/>
      <c r="I3" s="42"/>
      <c r="J3" s="42"/>
    </row>
    <row r="4" spans="1:28" x14ac:dyDescent="0.35">
      <c r="A4" s="5" t="s">
        <v>4</v>
      </c>
      <c r="B4" s="6">
        <v>17.82378477551724</v>
      </c>
      <c r="C4" s="7">
        <v>4.8787686150000003</v>
      </c>
      <c r="D4" s="8">
        <f>C4/B4</f>
        <v>0.2737223702174344</v>
      </c>
      <c r="G4" s="41"/>
      <c r="H4" s="43"/>
      <c r="I4" s="44"/>
      <c r="J4" s="45"/>
    </row>
    <row r="5" spans="1:28" x14ac:dyDescent="0.35">
      <c r="A5" s="5" t="s">
        <v>5</v>
      </c>
      <c r="B5" s="6">
        <v>6.2034912354716978</v>
      </c>
      <c r="C5" s="7">
        <v>0.89629119000000002</v>
      </c>
      <c r="D5" s="8">
        <f t="shared" ref="D5:D8" si="0">C5/B5</f>
        <v>0.14448173713456505</v>
      </c>
      <c r="E5" s="9"/>
      <c r="G5" s="41"/>
      <c r="H5" s="43"/>
      <c r="I5" s="44"/>
      <c r="J5" s="45"/>
      <c r="K5" s="10"/>
    </row>
    <row r="6" spans="1:28" x14ac:dyDescent="0.35">
      <c r="A6" s="5" t="s">
        <v>6</v>
      </c>
      <c r="B6" s="6">
        <v>0.36017108000000003</v>
      </c>
      <c r="C6" s="11">
        <v>3.11355E-2</v>
      </c>
      <c r="D6" s="8">
        <f t="shared" si="0"/>
        <v>8.6446418740782849E-2</v>
      </c>
      <c r="E6" s="12"/>
      <c r="G6" s="41"/>
      <c r="H6" s="43"/>
      <c r="I6" s="44"/>
      <c r="J6" s="45"/>
    </row>
    <row r="7" spans="1:28" x14ac:dyDescent="0.35">
      <c r="A7" s="5" t="s">
        <v>7</v>
      </c>
      <c r="B7" s="6">
        <v>1.1000000000000001</v>
      </c>
      <c r="C7" s="7">
        <v>0.67418372809300009</v>
      </c>
      <c r="D7" s="8">
        <f t="shared" si="0"/>
        <v>0.61289429826636366</v>
      </c>
      <c r="G7" s="41"/>
      <c r="H7" s="43"/>
      <c r="I7" s="44"/>
      <c r="J7" s="45"/>
    </row>
    <row r="8" spans="1:28" x14ac:dyDescent="0.35">
      <c r="A8" s="13" t="s">
        <v>8</v>
      </c>
      <c r="B8" s="6">
        <v>1.26</v>
      </c>
      <c r="C8" s="7">
        <v>0.43056</v>
      </c>
      <c r="D8" s="8">
        <f t="shared" si="0"/>
        <v>0.34171428571428569</v>
      </c>
      <c r="G8" s="46"/>
      <c r="H8" s="43"/>
      <c r="I8" s="44"/>
      <c r="J8" s="45"/>
    </row>
    <row r="9" spans="1:28" x14ac:dyDescent="0.35">
      <c r="H9" s="10"/>
    </row>
    <row r="10" spans="1:28" ht="15" thickBot="1" x14ac:dyDescent="0.4"/>
    <row r="11" spans="1:28" ht="15" thickBot="1" x14ac:dyDescent="0.4">
      <c r="A11" s="14" t="s">
        <v>9</v>
      </c>
      <c r="B11" s="14" t="s">
        <v>10</v>
      </c>
      <c r="C11" s="15" t="s">
        <v>11</v>
      </c>
      <c r="D11" s="16"/>
      <c r="E11" s="17"/>
      <c r="F11" s="18"/>
      <c r="G11" s="15" t="s">
        <v>12</v>
      </c>
      <c r="H11" s="16"/>
      <c r="I11" s="17"/>
      <c r="J11" s="18"/>
      <c r="K11" s="15" t="s">
        <v>13</v>
      </c>
      <c r="L11" s="16"/>
      <c r="M11" s="17"/>
      <c r="N11" s="18"/>
      <c r="O11" s="15" t="s">
        <v>14</v>
      </c>
      <c r="P11" s="16"/>
      <c r="Q11" s="17"/>
      <c r="R11" s="18"/>
      <c r="S11" s="15" t="s">
        <v>15</v>
      </c>
      <c r="T11" s="16"/>
      <c r="U11" s="17"/>
      <c r="V11" s="18"/>
      <c r="W11" s="15" t="s">
        <v>16</v>
      </c>
      <c r="X11" s="16"/>
      <c r="Y11" s="17"/>
    </row>
    <row r="12" spans="1:28" ht="15" thickBot="1" x14ac:dyDescent="0.4">
      <c r="A12" s="19"/>
      <c r="B12" s="20"/>
      <c r="C12" s="21" t="s">
        <v>17</v>
      </c>
      <c r="D12" s="21" t="s">
        <v>18</v>
      </c>
      <c r="E12" s="21" t="s">
        <v>3</v>
      </c>
      <c r="F12" s="18"/>
      <c r="G12" s="22" t="s">
        <v>17</v>
      </c>
      <c r="H12" s="21" t="s">
        <v>18</v>
      </c>
      <c r="I12" s="21" t="s">
        <v>3</v>
      </c>
      <c r="J12" s="18"/>
      <c r="K12" s="22" t="s">
        <v>17</v>
      </c>
      <c r="L12" s="21" t="s">
        <v>18</v>
      </c>
      <c r="M12" s="21" t="s">
        <v>3</v>
      </c>
      <c r="N12" s="18"/>
      <c r="O12" s="22" t="s">
        <v>17</v>
      </c>
      <c r="P12" s="21" t="s">
        <v>18</v>
      </c>
      <c r="Q12" s="21" t="s">
        <v>3</v>
      </c>
      <c r="R12" s="18"/>
      <c r="S12" s="22" t="s">
        <v>17</v>
      </c>
      <c r="T12" s="21" t="s">
        <v>18</v>
      </c>
      <c r="U12" s="21" t="s">
        <v>3</v>
      </c>
      <c r="V12" s="18"/>
      <c r="W12" s="22" t="s">
        <v>17</v>
      </c>
      <c r="X12" s="21" t="s">
        <v>18</v>
      </c>
      <c r="Y12" s="21" t="s">
        <v>3</v>
      </c>
    </row>
    <row r="13" spans="1:28" ht="15" thickBot="1" x14ac:dyDescent="0.4">
      <c r="A13" s="23" t="s">
        <v>19</v>
      </c>
      <c r="B13" s="24" t="s">
        <v>4</v>
      </c>
      <c r="C13" s="25">
        <v>3.6479323200000002</v>
      </c>
      <c r="D13" s="25">
        <v>1.1696933350000001</v>
      </c>
      <c r="E13" s="26">
        <f>D13/C13</f>
        <v>0.32064556915902431</v>
      </c>
      <c r="F13" s="27"/>
      <c r="G13" s="28">
        <v>5.1853150000000001</v>
      </c>
      <c r="H13" s="25">
        <v>0.74150070000000001</v>
      </c>
      <c r="I13" s="26">
        <f>H13/G13</f>
        <v>0.14300012631826611</v>
      </c>
      <c r="J13" s="27"/>
      <c r="K13" s="28">
        <v>3.9817588600000002</v>
      </c>
      <c r="L13" s="25">
        <v>0.98192531999999988</v>
      </c>
      <c r="M13" s="26">
        <f>L13/K13</f>
        <v>0.24660592329290373</v>
      </c>
      <c r="N13" s="27"/>
      <c r="O13" s="28">
        <v>0.92989546551724156</v>
      </c>
      <c r="P13" s="25">
        <v>0.82841432000000004</v>
      </c>
      <c r="Q13" s="26">
        <f>P13/O13</f>
        <v>0.89086822198794779</v>
      </c>
      <c r="R13" s="27"/>
      <c r="S13" s="28">
        <v>3.4373236500000002</v>
      </c>
      <c r="T13" s="25">
        <v>0.14682554</v>
      </c>
      <c r="U13" s="26">
        <f>T13/S13</f>
        <v>4.271507572468481E-2</v>
      </c>
      <c r="V13" s="27"/>
      <c r="W13" s="28">
        <v>0.60378947999999999</v>
      </c>
      <c r="X13" s="29">
        <v>0.85640799999999995</v>
      </c>
      <c r="Y13" s="26">
        <f>X13/W13</f>
        <v>1.4183884091521435</v>
      </c>
    </row>
    <row r="14" spans="1:28" ht="15" thickBot="1" x14ac:dyDescent="0.4">
      <c r="A14" s="30"/>
      <c r="B14" s="24" t="s">
        <v>5</v>
      </c>
      <c r="C14" s="25">
        <v>2.3152998254716981</v>
      </c>
      <c r="D14" s="25">
        <v>0.56165500000000002</v>
      </c>
      <c r="E14" s="26">
        <f t="shared" ref="E14:E16" si="1">D14/C14</f>
        <v>0.24258413265572357</v>
      </c>
      <c r="F14" s="27"/>
      <c r="G14" s="28">
        <v>1.1834914300000001</v>
      </c>
      <c r="H14" s="25">
        <v>0.18545836999999998</v>
      </c>
      <c r="I14" s="26">
        <f t="shared" ref="I14:I16" si="2">H14/G14</f>
        <v>0.15670444694305896</v>
      </c>
      <c r="J14" s="27"/>
      <c r="K14" s="28">
        <v>0.27610180000000006</v>
      </c>
      <c r="L14" s="25">
        <v>1.61672E-2</v>
      </c>
      <c r="M14" s="26">
        <f t="shared" ref="M14:M16" si="3">L14/K14</f>
        <v>5.8555214055105748E-2</v>
      </c>
      <c r="N14" s="27"/>
      <c r="O14" s="28">
        <v>8.4367999999999999E-2</v>
      </c>
      <c r="P14" s="25">
        <v>1.4751439999999999E-2</v>
      </c>
      <c r="Q14" s="26">
        <f t="shared" ref="Q14:Q16" si="4">P14/O14</f>
        <v>0.1748463872558316</v>
      </c>
      <c r="R14" s="27"/>
      <c r="S14" s="28">
        <v>1.0812301800000002</v>
      </c>
      <c r="T14" s="25">
        <v>0.11375918</v>
      </c>
      <c r="U14" s="26">
        <f t="shared" ref="U14:U15" si="5">T14/S14</f>
        <v>0.10521273092839491</v>
      </c>
      <c r="V14" s="27"/>
      <c r="W14" s="31">
        <v>3.0000000000000001E-3</v>
      </c>
      <c r="X14" s="32">
        <v>4.4999999999999997E-3</v>
      </c>
      <c r="Y14" s="26">
        <f t="shared" ref="Y14:Y16" si="6">X14/W14</f>
        <v>1.4999999999999998</v>
      </c>
      <c r="AB14" s="33"/>
    </row>
    <row r="15" spans="1:28" ht="15" thickBot="1" x14ac:dyDescent="0.4">
      <c r="A15" s="30"/>
      <c r="B15" s="24" t="s">
        <v>6</v>
      </c>
      <c r="C15" s="25">
        <v>0.1075</v>
      </c>
      <c r="D15" s="34">
        <v>1.5025500000000001E-2</v>
      </c>
      <c r="E15" s="26">
        <f t="shared" si="1"/>
        <v>0.13977209302325583</v>
      </c>
      <c r="F15" s="27"/>
      <c r="G15" s="28"/>
      <c r="H15" s="24"/>
      <c r="I15" s="26" t="e">
        <f t="shared" si="2"/>
        <v>#DIV/0!</v>
      </c>
      <c r="J15" s="27"/>
      <c r="K15" s="28">
        <v>1.2135E-2</v>
      </c>
      <c r="L15" s="35"/>
      <c r="M15" s="26">
        <f t="shared" si="3"/>
        <v>0</v>
      </c>
      <c r="N15" s="27"/>
      <c r="O15" s="28">
        <v>1.668E-2</v>
      </c>
      <c r="P15" s="34">
        <v>1.6109999999999999E-2</v>
      </c>
      <c r="Q15" s="26">
        <f t="shared" si="4"/>
        <v>0.96582733812949639</v>
      </c>
      <c r="R15" s="27"/>
      <c r="S15" s="36"/>
      <c r="T15" s="24"/>
      <c r="U15" s="26" t="e">
        <f t="shared" si="5"/>
        <v>#DIV/0!</v>
      </c>
      <c r="V15" s="27"/>
      <c r="W15" s="36"/>
      <c r="X15" s="24"/>
      <c r="Y15" s="26" t="e">
        <f t="shared" si="6"/>
        <v>#DIV/0!</v>
      </c>
    </row>
    <row r="16" spans="1:28" ht="15" thickBot="1" x14ac:dyDescent="0.4">
      <c r="A16" s="37"/>
      <c r="B16" s="24" t="s">
        <v>20</v>
      </c>
      <c r="C16" s="24">
        <v>13</v>
      </c>
      <c r="D16" s="29">
        <v>2.9786950000000001</v>
      </c>
      <c r="E16" s="38">
        <f t="shared" si="1"/>
        <v>0.22913038461538462</v>
      </c>
      <c r="F16" s="27"/>
      <c r="G16" s="36">
        <v>13</v>
      </c>
      <c r="H16" s="25">
        <v>6.9749895999999998</v>
      </c>
      <c r="I16" s="26">
        <f t="shared" si="2"/>
        <v>0.5365376615384615</v>
      </c>
      <c r="J16" s="27"/>
      <c r="K16" s="36">
        <v>13</v>
      </c>
      <c r="L16" s="25">
        <v>12.133362000000002</v>
      </c>
      <c r="M16" s="26">
        <f t="shared" si="3"/>
        <v>0.93333553846153861</v>
      </c>
      <c r="N16" s="27"/>
      <c r="O16" s="39">
        <v>55</v>
      </c>
      <c r="P16" s="25">
        <v>30.794143909299997</v>
      </c>
      <c r="Q16" s="26">
        <f t="shared" si="4"/>
        <v>0.55989352562363626</v>
      </c>
      <c r="R16" s="27"/>
      <c r="S16" s="36">
        <v>13</v>
      </c>
      <c r="T16" s="25">
        <v>3.5026519000000023</v>
      </c>
      <c r="U16" s="26">
        <f>T16/S16</f>
        <v>0.26943476153846169</v>
      </c>
      <c r="V16" s="27"/>
      <c r="W16" s="36">
        <v>3</v>
      </c>
      <c r="X16" s="25">
        <v>0.45105000000000001</v>
      </c>
      <c r="Y16" s="26">
        <f t="shared" si="6"/>
        <v>0.15035000000000001</v>
      </c>
    </row>
  </sheetData>
  <mergeCells count="11">
    <mergeCell ref="K11:M11"/>
    <mergeCell ref="O11:Q11"/>
    <mergeCell ref="S11:U11"/>
    <mergeCell ref="W11:Y11"/>
    <mergeCell ref="A13:A16"/>
    <mergeCell ref="A2:D2"/>
    <mergeCell ref="G2:J2"/>
    <mergeCell ref="A11:A12"/>
    <mergeCell ref="B11:B12"/>
    <mergeCell ref="C11:E11"/>
    <mergeCell ref="G11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Chauhan</dc:creator>
  <cp:lastModifiedBy>Neha Chauhan</cp:lastModifiedBy>
  <dcterms:created xsi:type="dcterms:W3CDTF">2015-06-05T18:17:20Z</dcterms:created>
  <dcterms:modified xsi:type="dcterms:W3CDTF">2026-08-20T17:14:10Z</dcterms:modified>
</cp:coreProperties>
</file>